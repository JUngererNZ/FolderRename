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NOVEMBER 2025/03-11-2025/"/>
    </mc:Choice>
  </mc:AlternateContent>
  <xr:revisionPtr revIDLastSave="18" documentId="13_ncr:1_{F8575B10-29D4-4E12-9D17-B187A0BC62F3}" xr6:coauthVersionLast="47" xr6:coauthVersionMax="47" xr10:uidLastSave="{E485C156-76F2-44B4-8A03-D2E08D605777}"/>
  <bookViews>
    <workbookView xWindow="-108" yWindow="-108" windowWidth="23256" windowHeight="12456" xr2:uid="{00000000-000D-0000-FFFF-FFFF00000000}"/>
  </bookViews>
  <sheets>
    <sheet name="3RD PARTY BONDED FACILITY " sheetId="25" r:id="rId1"/>
    <sheet name="NEW ARRIVALS" sheetId="26" r:id="rId2"/>
  </sheets>
  <definedNames>
    <definedName name="_xlnm._FilterDatabase" localSheetId="0" hidden="1">'3RD PARTY BONDED FACILITY '!$E$2:$L$2</definedName>
  </definedNames>
  <calcPr calcId="191029" refMode="R1C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4" i="25" l="1"/>
  <c r="BA3" i="25"/>
  <c r="AZ4" i="25" l="1"/>
  <c r="BB4" i="25" s="1"/>
  <c r="AZ3" i="25"/>
  <c r="BB3" i="25" s="1"/>
</calcChain>
</file>

<file path=xl/sharedStrings.xml><?xml version="1.0" encoding="utf-8"?>
<sst xmlns="http://schemas.openxmlformats.org/spreadsheetml/2006/main" count="99" uniqueCount="81">
  <si>
    <t>CLIENT PO</t>
  </si>
  <si>
    <t>BV No.</t>
  </si>
  <si>
    <t>HORSE REG NO</t>
  </si>
  <si>
    <t>TRAILER REG NO</t>
  </si>
  <si>
    <t>Final Documents   Submitted</t>
  </si>
  <si>
    <t>CLIENT</t>
  </si>
  <si>
    <t>CARGO DETAILS</t>
  </si>
  <si>
    <t>FML REF</t>
  </si>
  <si>
    <t>MANIFEST NO.</t>
  </si>
  <si>
    <t>ENGINE NUMBER</t>
  </si>
  <si>
    <t>SERIAL NUMBER</t>
  </si>
  <si>
    <t>ACTUAL STATUS</t>
  </si>
  <si>
    <t>ACTUAL DURBAN ARRIVAL DATE</t>
  </si>
  <si>
    <t>BOND EXPIRY DATE</t>
  </si>
  <si>
    <t>ACTUAL REMOVAL DATE FROM BONDED FACILITY</t>
  </si>
  <si>
    <t>DATE RECEIVED INTO BONDED FACILITY</t>
  </si>
  <si>
    <t>REMOVAL FROM BOND REQUIRED DATE ON OR BEFORE</t>
  </si>
  <si>
    <t>ESTIMATE DURBAN ARRIVAL DATE</t>
  </si>
  <si>
    <t>BILL OF LADING NUMBER:</t>
  </si>
  <si>
    <t>CLIENT PO:</t>
  </si>
  <si>
    <t>CLIENT:</t>
  </si>
  <si>
    <t>CARGO DETAILS:</t>
  </si>
  <si>
    <t>SERIAL NUMBER:</t>
  </si>
  <si>
    <t>ENGINE NUMBER:</t>
  </si>
  <si>
    <t>FML REF:</t>
  </si>
  <si>
    <t>VESSEL:</t>
  </si>
  <si>
    <t>ESTIMATE DURBAN ARRIVAL DATE:</t>
  </si>
  <si>
    <t xml:space="preserve">1 X CAT740GC-04A ARTICULATED TRUCK </t>
  </si>
  <si>
    <t>X-HAUL PORT TO BOND STORE</t>
  </si>
  <si>
    <t>HANDLING IN/OUT</t>
  </si>
  <si>
    <t>N/A</t>
  </si>
  <si>
    <r>
      <rPr>
        <b/>
        <sz val="11"/>
        <color rgb="FFFF0000"/>
        <rFont val="Calibri"/>
        <family val="2"/>
        <scheme val="minor"/>
      </rPr>
      <t xml:space="preserve">APRIL </t>
    </r>
    <r>
      <rPr>
        <b/>
        <sz val="11"/>
        <color theme="1"/>
        <rFont val="Calibri"/>
        <family val="2"/>
        <scheme val="minor"/>
      </rPr>
      <t>- STORAGE PER MONTH @ $40 PER DAY PER UNIT</t>
    </r>
  </si>
  <si>
    <r>
      <rPr>
        <b/>
        <sz val="11"/>
        <color rgb="FFFF0000"/>
        <rFont val="Calibri"/>
        <family val="2"/>
        <scheme val="minor"/>
      </rPr>
      <t>MARCH</t>
    </r>
    <r>
      <rPr>
        <b/>
        <sz val="11"/>
        <color theme="1"/>
        <rFont val="Calibri"/>
        <family val="2"/>
        <scheme val="minor"/>
      </rPr>
      <t xml:space="preserve"> - STORAGE PER MONTH @ $40 PER DAY PER UNIT</t>
    </r>
  </si>
  <si>
    <r>
      <rPr>
        <b/>
        <sz val="11"/>
        <color rgb="FFFF0000"/>
        <rFont val="Calibri"/>
        <family val="2"/>
        <scheme val="minor"/>
      </rPr>
      <t>FEBRUARY</t>
    </r>
    <r>
      <rPr>
        <b/>
        <sz val="11"/>
        <color theme="1"/>
        <rFont val="Calibri"/>
        <family val="2"/>
        <scheme val="minor"/>
      </rPr>
      <t xml:space="preserve"> - STORAGE PER MONTH @ $40 PER DAY PER UNIT</t>
    </r>
  </si>
  <si>
    <t>TOTAL COST PER UNIT</t>
  </si>
  <si>
    <r>
      <rPr>
        <b/>
        <sz val="11"/>
        <color rgb="FFFF0000"/>
        <rFont val="Calibri"/>
        <family val="2"/>
        <scheme val="minor"/>
      </rPr>
      <t xml:space="preserve">MAY </t>
    </r>
    <r>
      <rPr>
        <b/>
        <sz val="11"/>
        <color theme="1"/>
        <rFont val="Calibri"/>
        <family val="2"/>
        <scheme val="minor"/>
      </rPr>
      <t>- STORAGE PER MONTH @ $40 PER DAY PER UNIT</t>
    </r>
  </si>
  <si>
    <r>
      <rPr>
        <b/>
        <sz val="11"/>
        <color rgb="FFFF0000"/>
        <rFont val="Calibri"/>
        <family val="2"/>
        <scheme val="minor"/>
      </rPr>
      <t xml:space="preserve">JUNE </t>
    </r>
    <r>
      <rPr>
        <b/>
        <sz val="11"/>
        <color theme="1"/>
        <rFont val="Calibri"/>
        <family val="2"/>
        <scheme val="minor"/>
      </rPr>
      <t>- STORAGE PER MONTH @ $40 PER DAY PER UNIT</t>
    </r>
  </si>
  <si>
    <r>
      <rPr>
        <b/>
        <sz val="11"/>
        <color rgb="FFFF0000"/>
        <rFont val="Calibri"/>
        <family val="2"/>
        <scheme val="minor"/>
      </rPr>
      <t xml:space="preserve">JULY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</si>
  <si>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AUGUST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</si>
  <si>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SEPTEMBER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</si>
  <si>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t>TBA</t>
  </si>
  <si>
    <r>
      <rPr>
        <b/>
        <sz val="11"/>
        <color rgb="FFFF0000"/>
        <rFont val="Calibri"/>
        <family val="2"/>
        <scheme val="minor"/>
      </rPr>
      <t xml:space="preserve">OCTOBER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</si>
  <si>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t>1 X CAT 740-04A ARTICULATED TRUCK</t>
  </si>
  <si>
    <r>
      <rPr>
        <b/>
        <sz val="11"/>
        <color rgb="FFFF0000"/>
        <rFont val="Calibri"/>
        <family val="2"/>
        <scheme val="minor"/>
      </rPr>
      <t xml:space="preserve">NOVEMBER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</si>
  <si>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DECEMBER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</si>
  <si>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t>BA2577</t>
  </si>
  <si>
    <t>3F805349</t>
  </si>
  <si>
    <t>FML2312DSI2338</t>
  </si>
  <si>
    <t>BA2574</t>
  </si>
  <si>
    <t>3F805343</t>
  </si>
  <si>
    <t>FML2312DSI2350</t>
  </si>
  <si>
    <r>
      <rPr>
        <b/>
        <sz val="11"/>
        <color rgb="FFFF0000"/>
        <rFont val="Calibri"/>
        <family val="2"/>
        <scheme val="minor"/>
      </rPr>
      <t xml:space="preserve">JANUARY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</si>
  <si>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FEBRUARY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</si>
  <si>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t>07-02-2024</t>
  </si>
  <si>
    <t>09-02-2024</t>
  </si>
  <si>
    <t>09-02-2026</t>
  </si>
  <si>
    <r>
      <rPr>
        <b/>
        <sz val="11"/>
        <color rgb="FFFF0000"/>
        <rFont val="Calibri"/>
        <family val="2"/>
        <scheme val="minor"/>
      </rPr>
      <t xml:space="preserve">MARCH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</si>
  <si>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t>09-01-2026</t>
  </si>
  <si>
    <r>
      <rPr>
        <b/>
        <sz val="11"/>
        <color rgb="FFFF0000"/>
        <rFont val="Calibri"/>
        <family val="2"/>
        <scheme val="minor"/>
      </rPr>
      <t xml:space="preserve">APRIL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</si>
  <si>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MAY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</si>
  <si>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JUNE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</si>
  <si>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JULY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</si>
  <si>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t>09-01-2025</t>
  </si>
  <si>
    <r>
      <rPr>
        <b/>
        <sz val="11"/>
        <color rgb="FFFF0000"/>
        <rFont val="Calibri"/>
        <family val="2"/>
        <scheme val="minor"/>
      </rPr>
      <t xml:space="preserve">AUGUST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</si>
  <si>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SEPTEMBER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</si>
  <si>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OCTOBER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</si>
  <si>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NOVEMBER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</si>
  <si>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DECEMBER 2024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</si>
  <si>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JANUARY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</si>
  <si>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FEBRUARY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</si>
  <si>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MARCH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</si>
  <si>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APRIL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</si>
  <si>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MAY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</si>
  <si>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JUNE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</si>
  <si>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JULY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</si>
  <si>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AUGUST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</si>
  <si>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SEPTEMBER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</si>
  <si>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rPr>
        <b/>
        <sz val="11"/>
        <color rgb="FFFF0000"/>
        <rFont val="Calibri"/>
        <family val="2"/>
        <scheme val="minor"/>
      </rPr>
      <t xml:space="preserve">OCTOBER 2025 </t>
    </r>
    <r>
      <rPr>
        <b/>
        <sz val="11"/>
        <color theme="1"/>
        <rFont val="Calibri"/>
        <family val="2"/>
        <scheme val="minor"/>
      </rPr>
      <t>- STORAGE PER MONTH @ $25 PER DAY PER UNIT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</si>
  <si>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OCTOBER 2025</t>
    </r>
  </si>
  <si>
    <t xml:space="preserve">UNITS CURRENTLY IN PORT WAITING TO OFFLOAD 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</si>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</sst>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1" fontId="3" fillId="0" borderId="0" xfId="0" applyNumberFormat="1" applyFont="1" applyAlignment="1">
      <alignment horizontal="left" inden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9" xfId="2" xr:uid="{00000000-0005-0000-0000-000004000000}"/>
  </cellStyles>
  <dxfs count="0"/>
  <tableStyles count="0" defaultTableStyle="TableStyleMedium2" defaultPivotStyle="PivotStyleLight16"/>
  <colors>
    <mruColors>
      <color rgb="FF66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</xdr:colOff>
      <xdr:row>0</xdr:row>
      <xdr:rowOff>112394</xdr:rowOff>
    </xdr:from>
    <xdr:to>
      <xdr:col>3</xdr:col>
      <xdr:colOff>476250</xdr:colOff>
      <xdr:row>0</xdr:row>
      <xdr:rowOff>1504079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7BAFC-E3F5-4717-8870-DA65930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" y="112394"/>
          <a:ext cx="3800475" cy="1395495"/>
        </a:xfrm>
        <a:prstGeom prst="rect">
          <a:avLst/>
        </a:prstGeom>
      </xdr:spPr>
    </xdr:pic>
    <xdr:clientData/>
  </xdr:twoCellAnchor>
  <xdr:twoCellAnchor editAs="oneCell">
    <xdr:from>
      <xdr:col>14</xdr:col>
      <xdr:colOff>445234</xdr:colOff>
      <xdr:row>0</xdr:row>
      <xdr:rowOff>142874</xdr:rowOff>
    </xdr:from>
    <xdr:to>
      <xdr:col>17</xdr:col>
      <xdr:colOff>816177</xdr:colOff>
      <xdr:row>0</xdr:row>
      <xdr:rowOff>1523999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2BFA00A-632B-43F6-8F91-EC57A03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294459" y="142874"/>
          <a:ext cx="4028543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190501</xdr:rowOff>
    </xdr:from>
    <xdr:to>
      <xdr:col>2</xdr:col>
      <xdr:colOff>876300</xdr:colOff>
      <xdr:row>0</xdr:row>
      <xdr:rowOff>1333501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4DEB3-6AF7-42AF-84FC-A5A80095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90501"/>
          <a:ext cx="307657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0</xdr:row>
      <xdr:rowOff>9525</xdr:rowOff>
    </xdr:from>
    <xdr:to>
      <xdr:col>20</xdr:col>
      <xdr:colOff>80847</xdr:colOff>
      <xdr:row>0</xdr:row>
      <xdr:rowOff>1295400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2F351784-0FA9-49E0-BDF4-915AF5D4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1375" y="9525"/>
          <a:ext cx="3128847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"/>
  <sheetViews>
    <sheetView tabSelected="1" zoomScaleNormal="100" workbookViewId="0">
      <selection activeCell="L1" sqref="L1"/>
    </sheetView>
  </sheetViews>
  <sheetFormatPr defaultColWidth="9.109375" defaultRowHeight="14.4" x14ac:dyDescent="0.3"/>
  <cols>
    <col min="1" max="1" width="12.6640625" style="5" customWidth="1"/>
    <col min="2" max="2" width="1.6640625" style="1" hidden="1" customWidth="1"/>
    <col min="3" max="3" width="38.6640625" style="1" customWidth="1"/>
    <col min="4" max="4" width="17" style="1" customWidth="1"/>
    <col min="5" max="5" width="17.109375" style="1" customWidth="1"/>
    <col min="6" max="6" width="18.5546875" style="4" customWidth="1"/>
    <col min="7" max="7" width="27.88671875" style="1" hidden="1" customWidth="1"/>
    <col min="8" max="8" width="16.33203125" style="1" hidden="1" customWidth="1"/>
    <col min="9" max="9" width="19.109375" style="2" hidden="1" customWidth="1"/>
    <col min="10" max="10" width="15.6640625" style="1" hidden="1" customWidth="1"/>
    <col min="11" max="11" width="17.33203125" style="1" hidden="1" customWidth="1"/>
    <col min="12" max="12" width="31.109375" style="1" customWidth="1"/>
    <col min="13" max="13" width="16.88671875" style="1" customWidth="1"/>
    <col min="14" max="14" width="17.33203125" style="1" customWidth="1"/>
    <col min="15" max="15" width="21.6640625" style="1" customWidth="1"/>
    <col min="16" max="16" width="15.88671875" style="1" customWidth="1"/>
    <col min="17" max="17" width="17.33203125" style="1" customWidth="1"/>
    <col min="18" max="18" width="20" customWidth="1"/>
    <col min="19" max="19" width="17.6640625" customWidth="1"/>
    <col min="20" max="21" width="17.6640625" hidden="1" customWidth="1"/>
    <col min="22" max="50" width="23.44140625" hidden="1" customWidth="1"/>
    <col min="51" max="53" width="23.44140625" customWidth="1"/>
    <col min="54" max="54" width="19" customWidth="1"/>
    <col min="55" max="55" width="28" style="25" customWidth="1"/>
    <col min="56" max="56" width="28" customWidth="1"/>
  </cols>
  <sheetData>
    <row r="1" spans="1:95" ht="129" customHeight="1" x14ac:dyDescent="0.3">
      <c r="F1" s="28"/>
    </row>
    <row r="2" spans="1:95" s="6" customFormat="1" ht="61.5" customHeight="1" x14ac:dyDescent="0.3">
      <c r="A2" s="7" t="s">
        <v>0</v>
      </c>
      <c r="B2" s="7" t="s">
        <v>5</v>
      </c>
      <c r="C2" s="7" t="s">
        <v>6</v>
      </c>
      <c r="D2" s="7" t="s">
        <v>10</v>
      </c>
      <c r="E2" s="7" t="s">
        <v>9</v>
      </c>
      <c r="F2" s="8" t="s">
        <v>7</v>
      </c>
      <c r="G2" s="7" t="s">
        <v>1</v>
      </c>
      <c r="H2" s="7" t="s">
        <v>2</v>
      </c>
      <c r="I2" s="7" t="s">
        <v>3</v>
      </c>
      <c r="J2" s="7" t="s">
        <v>8</v>
      </c>
      <c r="K2" s="7" t="s">
        <v>4</v>
      </c>
      <c r="L2" s="7" t="s">
        <v>11</v>
      </c>
      <c r="M2" s="7" t="s">
        <v>12</v>
      </c>
      <c r="N2" s="7" t="s">
        <v>15</v>
      </c>
      <c r="O2" s="7" t="s">
        <v>16</v>
      </c>
      <c r="P2" s="7" t="s">
        <v>13</v>
      </c>
      <c r="Q2" s="7" t="s">
        <v>14</v>
      </c>
      <c r="R2" s="21" t="s">
        <v>28</v>
      </c>
      <c r="S2" s="21" t="s">
        <v>29</v>
      </c>
      <c r="T2" s="21" t="s">
        <v>33</v>
      </c>
      <c r="U2" s="21" t="s">
        <v>32</v>
      </c>
      <c r="V2" s="21" t="s">
        <v>31</v>
      </c>
      <c r="W2" s="21" t="s">
        <v>35</v>
      </c>
      <c r="X2" s="21" t="s">
        <v>36</v>
      </c>
      <c r="Y2" s="21" t="s">
        <v>37</v>
      </c>
      <c r="Z2" s="21" t="s">
        <v>38</v>
      </c>
      <c r="AA2" s="21" t="s">
        <v>39</v>
      </c>
      <c r="AB2" s="21" t="s">
        <v>41</v>
      </c>
      <c r="AC2" s="21" t="s">
        <v>43</v>
      </c>
      <c r="AD2" s="21" t="s">
        <v>44</v>
      </c>
      <c r="AE2" s="21" t="s">
        <v>51</v>
      </c>
      <c r="AF2" s="21" t="s">
        <v>52</v>
      </c>
      <c r="AG2" s="21" t="s">
        <v>56</v>
      </c>
      <c r="AH2" s="21" t="s">
        <v>58</v>
      </c>
      <c r="AI2" s="21" t="s">
        <v>59</v>
      </c>
      <c r="AJ2" s="21" t="s">
        <v>60</v>
      </c>
      <c r="AK2" s="21" t="s">
        <v>61</v>
      </c>
      <c r="AL2" s="21" t="s">
        <v>63</v>
      </c>
      <c r="AM2" s="21" t="s">
        <v>64</v>
      </c>
      <c r="AN2" s="21" t="s">
        <v>65</v>
      </c>
      <c r="AO2" s="21" t="s">
        <v>66</v>
      </c>
      <c r="AP2" s="21" t="s">
        <v>67</v>
      </c>
      <c r="AQ2" s="21" t="s">
        <v>68</v>
      </c>
      <c r="AR2" s="21" t="s">
        <v>69</v>
      </c>
      <c r="AS2" s="21" t="s">
        <v>70</v>
      </c>
      <c r="AT2" s="21" t="s">
        <v>71</v>
      </c>
      <c r="AU2" s="21" t="s">
        <v>72</v>
      </c>
      <c r="AV2" s="21" t="s">
        <v>73</v>
      </c>
      <c r="AW2" s="21" t="s">
        <v>74</v>
      </c>
      <c r="AX2" s="21" t="s">
        <v>75</v>
      </c>
      <c r="AY2" s="21" t="s">
        <v>76</v>
      </c>
      <c r="AZ2" s="21" t="s">
        <v>77</v>
      </c>
      <c r="BA2" s="21" t="s">
        <v>78</v>
      </c>
      <c r="BB2" s="23" t="s">
        <v>34</v>
      </c>
      <c r="BC2" s="24"/>
    </row>
    <row r="3" spans="1:95" s="11" customFormat="1" ht="69" customHeight="1" x14ac:dyDescent="0.3">
      <c r="A3" s="29" t="s">
        <v>48</v>
      </c>
      <c r="B3" s="30"/>
      <c r="C3" s="29" t="s">
        <v>27</v>
      </c>
      <c r="D3" s="29" t="s">
        <v>49</v>
      </c>
      <c r="E3" s="29" t="s">
        <v>40</v>
      </c>
      <c r="F3" s="31" t="s">
        <v>50</v>
      </c>
      <c r="G3" s="29"/>
      <c r="H3" s="29"/>
      <c r="I3" s="29"/>
      <c r="J3" s="29"/>
      <c r="K3" s="29"/>
      <c r="L3" s="30" t="s">
        <v>79</v>
      </c>
      <c r="M3" s="29" t="s">
        <v>53</v>
      </c>
      <c r="N3" s="29" t="s">
        <v>54</v>
      </c>
      <c r="O3" s="29" t="s">
        <v>62</v>
      </c>
      <c r="P3" s="32" t="s">
        <v>55</v>
      </c>
      <c r="Q3" s="29" t="s">
        <v>80</v>
      </c>
      <c r="R3" s="33">
        <v>1250</v>
      </c>
      <c r="S3" s="33">
        <v>355</v>
      </c>
      <c r="T3" s="33"/>
      <c r="U3" s="33"/>
      <c r="V3" s="33"/>
      <c r="W3" s="33"/>
      <c r="X3" s="33"/>
      <c r="Y3" s="33"/>
      <c r="Z3" s="33"/>
      <c r="AA3" s="33"/>
      <c r="AB3" s="34" t="s">
        <v>30</v>
      </c>
      <c r="AC3" s="34" t="s">
        <v>30</v>
      </c>
      <c r="AD3" s="34" t="s">
        <v>30</v>
      </c>
      <c r="AE3" s="34" t="s">
        <v>30</v>
      </c>
      <c r="AF3" s="34">
        <v>525</v>
      </c>
      <c r="AG3" s="34">
        <v>775</v>
      </c>
      <c r="AH3" s="34">
        <v>750</v>
      </c>
      <c r="AI3" s="34">
        <v>775</v>
      </c>
      <c r="AJ3" s="34">
        <v>750</v>
      </c>
      <c r="AK3" s="34">
        <v>775</v>
      </c>
      <c r="AL3" s="34">
        <v>775</v>
      </c>
      <c r="AM3" s="34">
        <v>750</v>
      </c>
      <c r="AN3" s="34">
        <v>775</v>
      </c>
      <c r="AO3" s="34">
        <v>725</v>
      </c>
      <c r="AP3" s="34">
        <v>775</v>
      </c>
      <c r="AQ3" s="34">
        <v>775</v>
      </c>
      <c r="AR3" s="34">
        <v>700</v>
      </c>
      <c r="AS3" s="34">
        <v>775</v>
      </c>
      <c r="AT3" s="34">
        <v>750</v>
      </c>
      <c r="AU3" s="34">
        <v>775</v>
      </c>
      <c r="AV3" s="34">
        <v>750</v>
      </c>
      <c r="AW3" s="34">
        <v>775</v>
      </c>
      <c r="AX3" s="34">
        <v>775</v>
      </c>
      <c r="AY3" s="34">
        <v>750</v>
      </c>
      <c r="AZ3" s="34">
        <f t="shared" ref="AZ3:AZ4" si="0">SUM(BC3*25)</f>
        <v>775</v>
      </c>
      <c r="BA3" s="30">
        <f>SUM(599+BC3)</f>
        <v>630</v>
      </c>
      <c r="BB3" s="34">
        <f>SUM(R3+S3+AF3+AG3+AH3+AI3+AJ3+AK3+AL3+AM3+AN3+AO3+AR3+AQ3+AP3+AS3+AT3+AU3+AV3+AW3+AX3+AY3+AZ3)</f>
        <v>17355</v>
      </c>
      <c r="BC3" s="24">
        <v>31</v>
      </c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</row>
    <row r="4" spans="1:95" s="11" customFormat="1" ht="61.8" customHeight="1" x14ac:dyDescent="0.3">
      <c r="A4" s="29" t="s">
        <v>45</v>
      </c>
      <c r="B4" s="30"/>
      <c r="C4" s="29" t="s">
        <v>42</v>
      </c>
      <c r="D4" s="29" t="s">
        <v>46</v>
      </c>
      <c r="E4" s="29" t="s">
        <v>40</v>
      </c>
      <c r="F4" s="31" t="s">
        <v>47</v>
      </c>
      <c r="G4" s="29"/>
      <c r="H4" s="29"/>
      <c r="I4" s="29"/>
      <c r="J4" s="29"/>
      <c r="K4" s="29"/>
      <c r="L4" s="30" t="s">
        <v>79</v>
      </c>
      <c r="M4" s="29" t="s">
        <v>53</v>
      </c>
      <c r="N4" s="29" t="s">
        <v>54</v>
      </c>
      <c r="O4" s="29" t="s">
        <v>57</v>
      </c>
      <c r="P4" s="32" t="s">
        <v>55</v>
      </c>
      <c r="Q4" s="29" t="s">
        <v>80</v>
      </c>
      <c r="R4" s="33">
        <v>1250</v>
      </c>
      <c r="S4" s="33">
        <v>355</v>
      </c>
      <c r="T4" s="33"/>
      <c r="U4" s="33"/>
      <c r="V4" s="33"/>
      <c r="W4" s="33"/>
      <c r="X4" s="33"/>
      <c r="Y4" s="33"/>
      <c r="Z4" s="33"/>
      <c r="AA4" s="33"/>
      <c r="AB4" s="34" t="s">
        <v>30</v>
      </c>
      <c r="AC4" s="34" t="s">
        <v>30</v>
      </c>
      <c r="AD4" s="34" t="s">
        <v>30</v>
      </c>
      <c r="AE4" s="34" t="s">
        <v>30</v>
      </c>
      <c r="AF4" s="34">
        <v>525</v>
      </c>
      <c r="AG4" s="34">
        <v>775</v>
      </c>
      <c r="AH4" s="34">
        <v>750</v>
      </c>
      <c r="AI4" s="34">
        <v>775</v>
      </c>
      <c r="AJ4" s="34">
        <v>750</v>
      </c>
      <c r="AK4" s="34">
        <v>775</v>
      </c>
      <c r="AL4" s="34">
        <v>775</v>
      </c>
      <c r="AM4" s="34">
        <v>750</v>
      </c>
      <c r="AN4" s="34">
        <v>775</v>
      </c>
      <c r="AO4" s="34">
        <v>725</v>
      </c>
      <c r="AP4" s="34">
        <v>775</v>
      </c>
      <c r="AQ4" s="34">
        <v>775</v>
      </c>
      <c r="AR4" s="34">
        <v>700</v>
      </c>
      <c r="AS4" s="34">
        <v>775</v>
      </c>
      <c r="AT4" s="34">
        <v>750</v>
      </c>
      <c r="AU4" s="34">
        <v>775</v>
      </c>
      <c r="AV4" s="34">
        <v>750</v>
      </c>
      <c r="AW4" s="34">
        <v>775</v>
      </c>
      <c r="AX4" s="34">
        <v>775</v>
      </c>
      <c r="AY4" s="34">
        <v>750</v>
      </c>
      <c r="AZ4" s="34">
        <f t="shared" si="0"/>
        <v>775</v>
      </c>
      <c r="BA4" s="30">
        <f>SUM(599+BC4)</f>
        <v>630</v>
      </c>
      <c r="BB4" s="34">
        <f>SUM(R4+S4+AF4+AG4+AH4+AI4+AJ4+AJ4+AJ4+AK4+AL4+AM4+AN4+AQ4+AO4+AR4+AP4+AS4+AT4+AU4+AW4+AV4+AX4+AY4+AZ4)</f>
        <v>18855</v>
      </c>
      <c r="BC4" s="24">
        <v>31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</row>
    <row r="5" spans="1:95" x14ac:dyDescent="0.3">
      <c r="AH5" s="22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</row>
    <row r="6" spans="1:95" x14ac:dyDescent="0.3"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</row>
    <row r="7" spans="1:95" x14ac:dyDescent="0.3"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</row>
    <row r="8" spans="1:95" x14ac:dyDescent="0.3"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63C-737F-4630-BD5A-20C7E3E95A9B}">
  <dimension ref="A1:O15"/>
  <sheetViews>
    <sheetView workbookViewId="0">
      <selection activeCell="D6" sqref="D6"/>
    </sheetView>
  </sheetViews>
  <sheetFormatPr defaultRowHeight="14.4" x14ac:dyDescent="0.3"/>
  <cols>
    <col min="1" max="1" width="13" customWidth="1"/>
    <col min="2" max="2" width="27.6640625" customWidth="1"/>
    <col min="3" max="3" width="24.88671875" customWidth="1"/>
    <col min="4" max="4" width="11.88671875" customWidth="1"/>
    <col min="5" max="5" width="11.33203125" customWidth="1"/>
    <col min="6" max="6" width="11.109375" customWidth="1"/>
    <col min="7" max="7" width="34.88671875" customWidth="1"/>
    <col min="8" max="8" width="25.33203125" customWidth="1"/>
    <col min="9" max="9" width="23.33203125" customWidth="1"/>
    <col min="10" max="12" width="0" hidden="1" customWidth="1"/>
    <col min="13" max="14" width="19" hidden="1" customWidth="1"/>
    <col min="15" max="15" width="18.44140625" hidden="1" customWidth="1"/>
  </cols>
  <sheetData>
    <row r="1" spans="1:15" ht="129" customHeight="1" x14ac:dyDescent="0.3">
      <c r="A1" s="5"/>
      <c r="B1" s="1"/>
      <c r="C1" s="1"/>
      <c r="D1" s="1"/>
      <c r="E1" s="1"/>
      <c r="F1" s="4"/>
      <c r="G1" s="1"/>
      <c r="H1" s="1"/>
      <c r="I1" s="1"/>
      <c r="J1" s="1"/>
      <c r="K1" s="2"/>
      <c r="L1" s="1"/>
      <c r="M1" s="1"/>
      <c r="N1" s="1"/>
      <c r="O1" s="1"/>
    </row>
    <row r="2" spans="1:15" s="6" customFormat="1" ht="61.5" customHeight="1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24</v>
      </c>
      <c r="G2" s="7" t="s">
        <v>25</v>
      </c>
      <c r="H2" s="7" t="s">
        <v>18</v>
      </c>
      <c r="I2" s="7" t="s">
        <v>26</v>
      </c>
      <c r="J2" s="7" t="s">
        <v>2</v>
      </c>
      <c r="K2" s="7" t="s">
        <v>3</v>
      </c>
      <c r="L2" s="7" t="s">
        <v>8</v>
      </c>
      <c r="M2" s="7" t="s">
        <v>4</v>
      </c>
      <c r="N2" s="7" t="s">
        <v>11</v>
      </c>
      <c r="O2" s="7" t="s">
        <v>17</v>
      </c>
    </row>
    <row r="3" spans="1:15" ht="52.5" customHeight="1" x14ac:dyDescent="0.3">
      <c r="A3" s="13"/>
      <c r="B3" s="14"/>
      <c r="C3" s="17"/>
      <c r="D3" s="14"/>
      <c r="E3" s="14"/>
      <c r="F3" s="14"/>
      <c r="G3" s="18"/>
      <c r="H3" s="19"/>
      <c r="I3" s="16"/>
      <c r="J3" s="9"/>
      <c r="K3" s="9"/>
      <c r="L3" s="9"/>
      <c r="M3" s="9"/>
      <c r="N3" s="3"/>
      <c r="O3" s="10"/>
    </row>
    <row r="4" spans="1:15" ht="52.5" customHeight="1" x14ac:dyDescent="0.3">
      <c r="A4" s="13"/>
      <c r="B4" s="14"/>
      <c r="C4" s="17"/>
      <c r="D4" s="14"/>
      <c r="E4" s="14"/>
      <c r="F4" s="14"/>
      <c r="G4" s="15"/>
      <c r="H4" s="15"/>
      <c r="I4" s="16"/>
      <c r="J4" s="9"/>
      <c r="K4" s="9"/>
      <c r="L4" s="9"/>
      <c r="M4" s="9"/>
      <c r="N4" s="3"/>
      <c r="O4" s="10"/>
    </row>
    <row r="5" spans="1:15" ht="52.5" customHeight="1" x14ac:dyDescent="0.3">
      <c r="A5" s="13"/>
      <c r="B5" s="14"/>
      <c r="C5" s="17"/>
      <c r="D5" s="14"/>
      <c r="E5" s="14"/>
      <c r="F5" s="14"/>
      <c r="G5" s="15"/>
      <c r="H5" s="15"/>
      <c r="I5" s="16"/>
      <c r="J5" s="9"/>
      <c r="K5" s="9"/>
      <c r="L5" s="9"/>
      <c r="M5" s="9"/>
      <c r="N5" s="3"/>
      <c r="O5" s="10"/>
    </row>
    <row r="6" spans="1:15" ht="52.5" customHeight="1" x14ac:dyDescent="0.3">
      <c r="A6" s="13"/>
      <c r="B6" s="14"/>
      <c r="C6" s="17"/>
      <c r="D6" s="14"/>
      <c r="E6" s="14"/>
      <c r="F6" s="14"/>
      <c r="G6" s="15"/>
      <c r="H6" s="15"/>
      <c r="I6" s="16"/>
      <c r="J6" s="9"/>
      <c r="K6" s="9"/>
      <c r="L6" s="9"/>
      <c r="M6" s="9"/>
      <c r="N6" s="3"/>
      <c r="O6" s="10"/>
    </row>
    <row r="7" spans="1:15" ht="52.5" customHeight="1" x14ac:dyDescent="0.3">
      <c r="A7" s="13"/>
      <c r="B7" s="14"/>
      <c r="C7" s="17"/>
      <c r="D7" s="14"/>
      <c r="E7" s="14"/>
      <c r="F7" s="14"/>
      <c r="G7" s="15"/>
      <c r="H7" s="20"/>
      <c r="I7" s="16"/>
      <c r="J7" s="9"/>
      <c r="K7" s="9"/>
      <c r="L7" s="9"/>
      <c r="M7" s="9"/>
      <c r="N7" s="3"/>
      <c r="O7" s="10"/>
    </row>
    <row r="8" spans="1:15" ht="52.5" customHeight="1" x14ac:dyDescent="0.3">
      <c r="A8" s="13"/>
      <c r="B8" s="14"/>
      <c r="C8" s="17"/>
      <c r="D8" s="14"/>
      <c r="E8" s="14"/>
      <c r="F8" s="14"/>
      <c r="G8" s="15"/>
      <c r="H8" s="20"/>
      <c r="I8" s="16"/>
      <c r="J8" s="9"/>
      <c r="K8" s="9"/>
      <c r="L8" s="9"/>
      <c r="M8" s="9"/>
      <c r="N8" s="3"/>
      <c r="O8" s="10"/>
    </row>
    <row r="9" spans="1:15" ht="52.5" customHeight="1" x14ac:dyDescent="0.3">
      <c r="A9" s="15"/>
      <c r="B9" s="14"/>
      <c r="C9" s="15"/>
      <c r="D9" s="14"/>
      <c r="E9" s="14"/>
      <c r="F9" s="14"/>
      <c r="G9" s="15"/>
      <c r="H9" s="15"/>
      <c r="I9" s="16"/>
      <c r="J9" s="9"/>
      <c r="K9" s="9"/>
      <c r="L9" s="9"/>
      <c r="M9" s="9"/>
      <c r="N9" s="3"/>
      <c r="O9" s="10"/>
    </row>
    <row r="10" spans="1:15" ht="52.5" customHeight="1" x14ac:dyDescent="0.3">
      <c r="A10" s="15"/>
      <c r="B10" s="14"/>
      <c r="C10" s="15"/>
      <c r="D10" s="14"/>
      <c r="E10" s="14"/>
      <c r="F10" s="14"/>
      <c r="G10" s="15"/>
      <c r="H10" s="15"/>
      <c r="I10" s="16"/>
      <c r="J10" s="9"/>
      <c r="K10" s="9"/>
      <c r="L10" s="9"/>
      <c r="M10" s="9"/>
      <c r="N10" s="3"/>
      <c r="O10" s="10"/>
    </row>
    <row r="11" spans="1:15" ht="52.5" customHeight="1" x14ac:dyDescent="0.3">
      <c r="A11" s="15"/>
      <c r="B11" s="14"/>
      <c r="C11" s="15"/>
      <c r="D11" s="14"/>
      <c r="E11" s="14"/>
      <c r="F11" s="14"/>
      <c r="G11" s="15"/>
      <c r="H11" s="15"/>
      <c r="I11" s="16"/>
      <c r="J11" s="9"/>
      <c r="K11" s="9"/>
      <c r="L11" s="9"/>
      <c r="M11" s="9"/>
      <c r="N11" s="3"/>
      <c r="O11" s="10"/>
    </row>
    <row r="12" spans="1:15" ht="52.5" customHeight="1" x14ac:dyDescent="0.3">
      <c r="A12" s="15"/>
      <c r="B12" s="14"/>
      <c r="C12" s="15"/>
      <c r="D12" s="14"/>
      <c r="E12" s="14"/>
      <c r="F12" s="14"/>
      <c r="G12" s="15"/>
      <c r="H12" s="15"/>
      <c r="I12" s="16"/>
      <c r="J12" s="9"/>
      <c r="K12" s="9"/>
      <c r="L12" s="9"/>
      <c r="M12" s="9"/>
      <c r="N12" s="3"/>
      <c r="O12" s="10"/>
    </row>
    <row r="13" spans="1:15" ht="52.5" customHeight="1" x14ac:dyDescent="0.3">
      <c r="A13" s="15"/>
      <c r="B13" s="14"/>
      <c r="C13" s="15"/>
      <c r="D13" s="14"/>
      <c r="E13" s="14"/>
      <c r="F13" s="14"/>
      <c r="G13" s="15"/>
      <c r="H13" s="15"/>
      <c r="I13" s="16"/>
      <c r="J13" s="9"/>
      <c r="K13" s="9"/>
      <c r="L13" s="9"/>
      <c r="M13" s="9"/>
      <c r="N13" s="3"/>
      <c r="O13" s="10"/>
    </row>
    <row r="14" spans="1:15" ht="52.5" customHeight="1" x14ac:dyDescent="0.3">
      <c r="A14" s="15"/>
      <c r="B14" s="14"/>
      <c r="C14" s="15"/>
      <c r="D14" s="14"/>
      <c r="E14" s="14"/>
      <c r="F14" s="14"/>
      <c r="G14" s="15"/>
      <c r="H14" s="15"/>
      <c r="I14" s="16"/>
      <c r="J14" s="9"/>
      <c r="K14" s="9"/>
      <c r="L14" s="9"/>
      <c r="M14" s="9"/>
      <c r="N14" s="3"/>
      <c r="O14" s="10"/>
    </row>
    <row r="15" spans="1:15" x14ac:dyDescent="0.3">
      <c r="G15" s="1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F68C19-A259-42E0-97FC-54C6EA03F277}"/>
</file>

<file path=customXml/itemProps2.xml><?xml version="1.0" encoding="utf-8"?>
<ds:datastoreItem xmlns:ds="http://schemas.openxmlformats.org/officeDocument/2006/customXml" ds:itemID="{F0549A39-F3E5-4B45-9612-943EC1293D07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966631F5-0574-4A6F-B3A8-04968E33EB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3RD PARTY BONDED FACILITY </vt:lpstr>
      <vt:lpstr>NEW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2025-11-03T07:18:14Z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