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FEBRUARY 2026/04-02-2026/"/>
    </mc:Choice>
  </mc:AlternateContent>
  <xr:revisionPtr revIDLastSave="64" documentId="8_{12EC6643-ED48-463E-8A7F-89A65297F9AF}" xr6:coauthVersionLast="47" xr6:coauthVersionMax="47" xr10:uidLastSave="{60516656-0D94-4120-882F-D2FE3D6F03B1}"/>
  <bookViews>
    <workbookView xWindow="28680" yWindow="-120" windowWidth="29040" windowHeight="15720" xr2:uid="{2397AE24-248E-40B3-950D-2F0DA5313C9C}"/>
  </bookViews>
  <sheets>
    <sheet name="ENROUTE SITE" sheetId="1" r:id="rId1"/>
  </sheets>
  <calcPr calcId="191029" refMode="R1C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L8" i="1" s="1"/>
</calcChain>
</file>

<file path=xl/sharedStrings.xml><?xml version="1.0" encoding="utf-8"?>
<sst xmlns="http://schemas.openxmlformats.org/spreadsheetml/2006/main" count="27" uniqueCount="27">
  <si>
    <t>CARGO DETAILS</t>
  </si>
  <si>
    <t>CLIENT</t>
  </si>
  <si>
    <t>SERIAL NUMBER</t>
  </si>
  <si>
    <t>PIN NUMBER</t>
  </si>
  <si>
    <t>ENGINE NO</t>
  </si>
  <si>
    <t>FML REF</t>
  </si>
  <si>
    <t>DBN ARR</t>
  </si>
  <si>
    <t>VESSEL DETAILS &amp; ETA</t>
  </si>
  <si>
    <t xml:space="preserve">TOTAL COST PER UNIT 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</si>
  <si>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FEBRUARY 2026</t>
    </r>
  </si>
  <si>
    <t>COMMENTS 30-01-2026</t>
  </si>
  <si>
    <t>VESSEL: HYPERION RAY Voy. HPR040 - ETA DURBAN: 31-01-2026</t>
  </si>
  <si>
    <t xml:space="preserve">ARRIVE AT STORAGE FACILITY </t>
  </si>
  <si>
    <t>ATLAS COPCO SMARTROC T35-11 DRILLING RIG</t>
  </si>
  <si>
    <t>AVO12A1452/8992008216</t>
  </si>
  <si>
    <t>8992 0082 16</t>
  </si>
  <si>
    <t>FML2601DSI2762</t>
  </si>
  <si>
    <t xml:space="preserve">A &amp; L DRILLING &amp; CONSULTING </t>
  </si>
  <si>
    <t>AWAITING VESSEL ARRIVAL - ETA DURBAN 31-01-2026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</si>
  <si>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DAY @ R750 </t>
    </r>
  </si>
  <si>
    <t>COMMENTS 02-02-2026</t>
  </si>
  <si>
    <t>31-01-2026</t>
  </si>
  <si>
    <t xml:space="preserve">VESSEL ARRIVED 31-01-2026 - UNIT TO BE COLLECTED FROM PORT TOMORROW </t>
  </si>
  <si>
    <t>COMMENTS 03-02-2026</t>
  </si>
  <si>
    <t xml:space="preserve">UNIT COLLECTED FROM PORT - 
02-02-2026 AND DELIVERED TO STORAGE FACILITY 02-02-2026 - TO BE UPLIFTED FROM STORAGE FACILITY TODAY </t>
  </si>
  <si>
    <t>COMMENTS 04-02-2026</t>
  </si>
  <si>
    <t>UNIT COLLECTED BY ANDY 03-02-2026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</si>
</sst>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1" fillId="35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horizontal="center" vertical="center" wrapText="1"/>
    </xf>
    <xf numFmtId="164" fontId="2" fillId="34" borderId="1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165741</xdr:rowOff>
    </xdr:from>
    <xdr:to>
      <xdr:col>1</xdr:col>
      <xdr:colOff>817338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Q8"/>
  <sheetViews>
    <sheetView tabSelected="1" workbookViewId="0">
      <selection activeCell="C2" sqref="C2"/>
    </sheetView>
  </sheetViews>
  <sheetFormatPr defaultColWidth="9.109375" defaultRowHeight="14.4" x14ac:dyDescent="0.3"/>
  <cols>
    <col min="1" max="1" width="25.44140625" style="2" customWidth="1"/>
    <col min="2" max="2" width="26.88671875" style="2" customWidth="1"/>
    <col min="3" max="3" width="11" style="2" customWidth="1"/>
    <col min="4" max="4" width="18.6640625" style="2" customWidth="1"/>
    <col min="5" max="5" width="13.5546875" style="2" customWidth="1"/>
    <col min="6" max="6" width="16.88671875" style="2" customWidth="1"/>
    <col min="7" max="8" width="16" style="2" customWidth="1"/>
    <col min="9" max="9" width="10.33203125" style="2" customWidth="1"/>
    <col min="10" max="10" width="16.88671875" style="2" customWidth="1"/>
    <col min="11" max="11" width="16.44140625" style="2" customWidth="1"/>
    <col min="12" max="12" width="12.77734375" style="2" customWidth="1"/>
    <col min="13" max="14" width="25.44140625" style="2" hidden="1" customWidth="1"/>
    <col min="15" max="15" width="32.5546875" style="2" hidden="1" customWidth="1"/>
    <col min="16" max="16" width="32.5546875" style="2" customWidth="1"/>
    <col min="17" max="16384" width="9.109375" style="2"/>
  </cols>
  <sheetData>
    <row r="1" spans="1:17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7" x14ac:dyDescent="0.3">
      <c r="A2" s="3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7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7" ht="20.399999999999999" x14ac:dyDescent="0.35">
      <c r="A4" s="4"/>
      <c r="F4" s="1"/>
      <c r="G4" s="1"/>
      <c r="H4" s="1"/>
      <c r="I4" s="1"/>
      <c r="J4" s="1"/>
      <c r="K4" s="1"/>
    </row>
    <row r="5" spans="1:17" x14ac:dyDescent="0.3">
      <c r="A5" s="5"/>
      <c r="F5" s="1"/>
      <c r="G5" s="1"/>
      <c r="H5" s="1"/>
      <c r="I5" s="1"/>
      <c r="J5" s="1"/>
      <c r="K5" s="1"/>
    </row>
    <row r="6" spans="1:17" x14ac:dyDescent="0.3">
      <c r="A6" s="5"/>
      <c r="F6" s="1"/>
      <c r="G6" s="1"/>
      <c r="H6" s="1"/>
      <c r="I6" s="1"/>
      <c r="J6" s="1"/>
      <c r="K6" s="1"/>
    </row>
    <row r="7" spans="1:17" s="8" customFormat="1" ht="57.6" x14ac:dyDescent="0.3">
      <c r="A7" s="6" t="s">
        <v>0</v>
      </c>
      <c r="B7" s="6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6" t="s">
        <v>7</v>
      </c>
      <c r="H7" s="6" t="s">
        <v>6</v>
      </c>
      <c r="I7" s="6" t="s">
        <v>12</v>
      </c>
      <c r="J7" s="14" t="s">
        <v>19</v>
      </c>
      <c r="K7" s="14" t="s">
        <v>9</v>
      </c>
      <c r="L7" s="15" t="s">
        <v>8</v>
      </c>
      <c r="M7" s="6" t="s">
        <v>10</v>
      </c>
      <c r="N7" s="6" t="s">
        <v>20</v>
      </c>
      <c r="O7" s="6" t="s">
        <v>23</v>
      </c>
      <c r="P7" s="6" t="s">
        <v>25</v>
      </c>
    </row>
    <row r="8" spans="1:17" s="12" customFormat="1" ht="66.75" customHeight="1" x14ac:dyDescent="0.3">
      <c r="A8" s="10" t="s">
        <v>13</v>
      </c>
      <c r="B8" s="10" t="s">
        <v>17</v>
      </c>
      <c r="C8" s="10" t="s">
        <v>15</v>
      </c>
      <c r="D8" s="11" t="s">
        <v>14</v>
      </c>
      <c r="E8" s="10"/>
      <c r="F8" s="11" t="s">
        <v>16</v>
      </c>
      <c r="G8" s="10" t="s">
        <v>11</v>
      </c>
      <c r="H8" s="10" t="s">
        <v>21</v>
      </c>
      <c r="I8" s="11"/>
      <c r="J8" s="16">
        <f>SUM(K8*750)</f>
        <v>750</v>
      </c>
      <c r="K8" s="11">
        <v>1</v>
      </c>
      <c r="L8" s="16">
        <f>SUM(J8)</f>
        <v>750</v>
      </c>
      <c r="M8" s="9" t="s">
        <v>18</v>
      </c>
      <c r="N8" s="9" t="s">
        <v>22</v>
      </c>
      <c r="O8" s="10" t="s">
        <v>24</v>
      </c>
      <c r="P8" s="10" t="s">
        <v>26</v>
      </c>
      <c r="Q8" s="13">
        <v>0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ACB5E926-E6BC-48D8-B9D0-44ACE1198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9EEF81-CE0B-4BF1-A054-5DA3155B8F9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ENROUTE 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2026-02-04T06:55:03Z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