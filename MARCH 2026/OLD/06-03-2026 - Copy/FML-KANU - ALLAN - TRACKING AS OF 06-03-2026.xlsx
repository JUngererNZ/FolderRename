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MARCH 2026/05-03-2026/"/>
    </mc:Choice>
  </mc:AlternateContent>
  <xr:revisionPtr revIDLastSave="6" documentId="13_ncr:1_{BC927CFF-C893-468D-997A-48B51F88293B}" xr6:coauthVersionLast="47" xr6:coauthVersionMax="47" xr10:uidLastSave="{8F501196-B94D-4A85-B422-C4E322CA0378}"/>
  <bookViews>
    <workbookView xWindow="22932" yWindow="-108" windowWidth="23256" windowHeight="12456" xr2:uid="{2397AE24-248E-40B3-950D-2F0DA5313C9C}"/>
  </bookViews>
  <sheets>
    <sheet name="CURRENT SHIPMENTS" sheetId="1" r:id="rId1"/>
    <sheet name="OFFLOADED 2025" sheetId="4" r:id="rId2"/>
    <sheet name="REMOVED FROM WHSE" sheetId="3" r:id="rId3"/>
    <sheet name="OFFLOADED 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9" i="1" l="1"/>
  <c r="AG9" i="1" s="1"/>
  <c r="AI9" i="1" s="1"/>
  <c r="AH8" i="1"/>
  <c r="AG8" i="1" s="1"/>
  <c r="AI8" i="1" s="1"/>
  <c r="AI11" i="4" l="1"/>
  <c r="AH11" i="4"/>
  <c r="AJ11" i="4" s="1"/>
  <c r="AI10" i="4"/>
  <c r="AH10" i="4"/>
  <c r="AJ10" i="4" s="1"/>
  <c r="AC9" i="4" l="1"/>
  <c r="AB9" i="4"/>
  <c r="AD9" i="4" s="1"/>
  <c r="AC8" i="4" l="1"/>
  <c r="AB8" i="4"/>
  <c r="AA8" i="4"/>
  <c r="BU11" i="3" l="1"/>
  <c r="BT11" i="3"/>
  <c r="BU10" i="3"/>
  <c r="BT10" i="3"/>
  <c r="BU9" i="3"/>
  <c r="BT9" i="3"/>
  <c r="BT8" i="3"/>
  <c r="BS8" i="3"/>
</calcChain>
</file>

<file path=xl/sharedStrings.xml><?xml version="1.0" encoding="utf-8"?>
<sst xmlns="http://schemas.openxmlformats.org/spreadsheetml/2006/main" count="1078" uniqueCount="377">
  <si>
    <t>CLIENT PO</t>
  </si>
  <si>
    <t>CARGO DETAILS</t>
  </si>
  <si>
    <t>CLIENT</t>
  </si>
  <si>
    <t>SERIAL NUMBER</t>
  </si>
  <si>
    <t>PIN NUMBER</t>
  </si>
  <si>
    <t>ENGINE NO</t>
  </si>
  <si>
    <t>FML REF</t>
  </si>
  <si>
    <t>HORSE REG NO</t>
  </si>
  <si>
    <t>TRAILER REG NO</t>
  </si>
  <si>
    <t>MANIFEST NO.</t>
  </si>
  <si>
    <t>ACTUAL STATUS</t>
  </si>
  <si>
    <t>DBN ARR</t>
  </si>
  <si>
    <t>DBN DISP</t>
  </si>
  <si>
    <t>JHB ARR</t>
  </si>
  <si>
    <t>JHB DISP</t>
  </si>
  <si>
    <t>VESSEL DETAILS &amp; ETA</t>
  </si>
  <si>
    <t>RUSTENBURG</t>
  </si>
  <si>
    <t>ZEERUST</t>
  </si>
  <si>
    <t>KOPFONTEIN RSA SIDE</t>
  </si>
  <si>
    <t>KOPFONTEIN BOTS SIDE</t>
  </si>
  <si>
    <t>TLOKWENG</t>
  </si>
  <si>
    <t>ON SITE OFFLOADED</t>
  </si>
  <si>
    <t>HARRISMIRTH</t>
  </si>
  <si>
    <t>LIEBHERR CRAWLER EXCAVATOR</t>
  </si>
  <si>
    <t xml:space="preserve">KANU EQUIPMENT </t>
  </si>
  <si>
    <t>WLHZ1786AZC58003</t>
  </si>
  <si>
    <t>2401DSI2355</t>
  </si>
  <si>
    <t>VESSEL: THALATTA Voy. EE324 - ETA 31-01-2024</t>
  </si>
  <si>
    <t>COMMENTS 09-02-2024</t>
  </si>
  <si>
    <t>WLHZ1786TZC57814</t>
  </si>
  <si>
    <t>2401DSI2356</t>
  </si>
  <si>
    <t>31-01-2024</t>
  </si>
  <si>
    <t>ND568309</t>
  </si>
  <si>
    <t>ND566910 / ND564162</t>
  </si>
  <si>
    <t>ND64647</t>
  </si>
  <si>
    <t>KG17GNGP</t>
  </si>
  <si>
    <t>HK48JKGP</t>
  </si>
  <si>
    <t>ND64647-1</t>
  </si>
  <si>
    <t>CW07CFGP</t>
  </si>
  <si>
    <t>HTT398GP</t>
  </si>
  <si>
    <t>ND64647-2</t>
  </si>
  <si>
    <t>JOHANNESBURG</t>
  </si>
  <si>
    <t>07-02-2024</t>
  </si>
  <si>
    <t>08-02-2024</t>
  </si>
  <si>
    <t>ND760431</t>
  </si>
  <si>
    <t>ND760424 / ND760428</t>
  </si>
  <si>
    <t>ND64648</t>
  </si>
  <si>
    <t>NA64648-2</t>
  </si>
  <si>
    <t>ND64648-1</t>
  </si>
  <si>
    <t>JF92ZTGP</t>
  </si>
  <si>
    <t>BX45RWGP</t>
  </si>
  <si>
    <t>JL87VXGP</t>
  </si>
  <si>
    <t>MJW681GP</t>
  </si>
  <si>
    <t>DURBAN TO DISPATCH MODNAY</t>
  </si>
  <si>
    <t>UNIT TO DISPATCH TODAY EN-ROUTE TO JHB</t>
  </si>
  <si>
    <t>JOHANNESBURG AWAITING MAIN UNIT</t>
  </si>
  <si>
    <t>UNIT IN PORT LOADING TODAY</t>
  </si>
  <si>
    <t>COMMENTS 12-02-2024</t>
  </si>
  <si>
    <t>TRUCK IS AT OUR FACILITY IN DURBAN ONDERGOING TRIP CHECK BEFORE DISPATCH</t>
  </si>
  <si>
    <t>COMMENTS 13-02-2024</t>
  </si>
  <si>
    <t>TRUCK DISPATCHING DURBAN TODAY EN-ROUTE TO KOPFONTEIN</t>
  </si>
  <si>
    <t>COMMENTS 14-02-2024</t>
  </si>
  <si>
    <t>TRUCK AT MARIANHILL PLAZA EN-ROUTE TO JHB</t>
  </si>
  <si>
    <t>15-02-2024</t>
  </si>
  <si>
    <t>COMMENTS 15-02-2024</t>
  </si>
  <si>
    <t>TRUCK AT CATORIDGE-AWAITING POLICE ESCORTS IN ORDER TO MOVE TO JHB</t>
  </si>
  <si>
    <t>COMMENTS 16-02-2024</t>
  </si>
  <si>
    <t>COMMENTS 19-02-2024</t>
  </si>
  <si>
    <t>TRUCK AT PIETERMARITZBURG ENROUTE KOPFONTEIN</t>
  </si>
  <si>
    <t xml:space="preserve">TRUCK AT CATORIDGE-DISPATCHING TODAY </t>
  </si>
  <si>
    <t>COMMENTS 20-02-2024</t>
  </si>
  <si>
    <t>VOLKSRUST AWAITING PERMITS</t>
  </si>
  <si>
    <t>PIETERMARITZBURG AWAITNIG PERMITS</t>
  </si>
  <si>
    <t>VOLKSRUST ENROUTE KOPFONTEIN</t>
  </si>
  <si>
    <t>RUSTENBURG ENROUTE KOPFONTEIN</t>
  </si>
  <si>
    <t>DISPATCHING JOHANNESBURG TODAY</t>
  </si>
  <si>
    <t>20-02-2024</t>
  </si>
  <si>
    <t>COMMENTS 21-02-2024</t>
  </si>
  <si>
    <t>COMMENTS 22-02-2024</t>
  </si>
  <si>
    <t xml:space="preserve">ERMELO ENROUTE KOPFONTEIN </t>
  </si>
  <si>
    <t>21-02-2024</t>
  </si>
  <si>
    <t>KOPFONTEIN</t>
  </si>
  <si>
    <t>COMMENTS 23-02-2024</t>
  </si>
  <si>
    <t>OFFLOADED 22-02-2024</t>
  </si>
  <si>
    <t>KOPFONTEIN AWAITING CUSTOMS RELEASE</t>
  </si>
  <si>
    <t>22-02-2024</t>
  </si>
  <si>
    <t>PRETORIA</t>
  </si>
  <si>
    <t>KOPFONTEIN AWAITING MAIN UNIT</t>
  </si>
  <si>
    <t>23-02-2024</t>
  </si>
  <si>
    <t>OFFLOADED 24-02-2024</t>
  </si>
  <si>
    <t>24-02-2024</t>
  </si>
  <si>
    <t>COMMENTS 26-02-2024</t>
  </si>
  <si>
    <t>CLIENT INVOICE NR</t>
  </si>
  <si>
    <t>CASE 570V SS 4WD</t>
  </si>
  <si>
    <t xml:space="preserve">CNHI INTERNATIONAL / KANU EQUIPMENT </t>
  </si>
  <si>
    <t>NKJ0570VVPKH36626</t>
  </si>
  <si>
    <t>VPKH36626</t>
  </si>
  <si>
    <t>45-419416</t>
  </si>
  <si>
    <t>HPKH36646</t>
  </si>
  <si>
    <t>NKJ0570VHPKH36646</t>
  </si>
  <si>
    <t>45-418963</t>
  </si>
  <si>
    <t>APKH36627</t>
  </si>
  <si>
    <t>NKJ0570VAPKH36627</t>
  </si>
  <si>
    <t>45-419413</t>
  </si>
  <si>
    <t>CPKH36634</t>
  </si>
  <si>
    <t>NKJ0570VCPKH36634</t>
  </si>
  <si>
    <t>45-418266</t>
  </si>
  <si>
    <t>CPKH36625</t>
  </si>
  <si>
    <t>NKJ0570VCPKH36625</t>
  </si>
  <si>
    <t>45-419419</t>
  </si>
  <si>
    <t>LPKH36628</t>
  </si>
  <si>
    <t>NKJ0570VLPKH36628</t>
  </si>
  <si>
    <t>45-419411</t>
  </si>
  <si>
    <t>AWAITING VESSEL ARRIVAL - ETA DURBAN: 16-08-2024</t>
  </si>
  <si>
    <t>FML2407DSI2557</t>
  </si>
  <si>
    <t>COMMENTS 10-07-2024</t>
  </si>
  <si>
    <t>COMMENTS 11-07-2024</t>
  </si>
  <si>
    <t>COMMENTS 12-07-2024</t>
  </si>
  <si>
    <t>COMMENTS 15-07-2024</t>
  </si>
  <si>
    <t>COMMENTS 16-07-2024</t>
  </si>
  <si>
    <t>COMMENTS 17-07-2024</t>
  </si>
  <si>
    <t>COMMENTS 18-07-2024</t>
  </si>
  <si>
    <t>COMMENTS 19-07-2024</t>
  </si>
  <si>
    <t>COMMENTS 22-07-2024</t>
  </si>
  <si>
    <t>COMMENTS 23-07-2024</t>
  </si>
  <si>
    <t>COMMENTS 24-07-2024</t>
  </si>
  <si>
    <t>COMMENTS 25-07-2024</t>
  </si>
  <si>
    <t>COMMENTS 26-07-2024</t>
  </si>
  <si>
    <t>COMMENTS 29-07-2024</t>
  </si>
  <si>
    <t>COMMENTS 30-07-2024</t>
  </si>
  <si>
    <t>COMMENTS 31-07-2024</t>
  </si>
  <si>
    <t>COMMENTS 01-08-2024</t>
  </si>
  <si>
    <t>COMMENTS 02-08-2024</t>
  </si>
  <si>
    <t>COMMENTS 05-08-2024</t>
  </si>
  <si>
    <t>COMMENTS 06-08-2024</t>
  </si>
  <si>
    <t>LIEBHERR L566 WHEEL LOADER - 1 UNIT &amp; 1 PKGS</t>
  </si>
  <si>
    <t xml:space="preserve">LIEBHERR MACHINERY / KANU EQUIPMENT </t>
  </si>
  <si>
    <t>VATZ1797CZD074599</t>
  </si>
  <si>
    <t>VATZ1797AZD074600</t>
  </si>
  <si>
    <t>RG6090G040181</t>
  </si>
  <si>
    <t>RG6090G040185</t>
  </si>
  <si>
    <t>AWAITING VESSEL ARRIVAL - ETA DURBAN: 03-09-2024</t>
  </si>
  <si>
    <t>FML2408DSI2566</t>
  </si>
  <si>
    <t>FML2408DSI2565</t>
  </si>
  <si>
    <t>COMMENTS 07-08-2024</t>
  </si>
  <si>
    <t>COMMENTS 08-08-2024</t>
  </si>
  <si>
    <t>COMMENTS 09-08-2024</t>
  </si>
  <si>
    <t>COMMENTS 12-08-2024</t>
  </si>
  <si>
    <t>AWAITING VESSEL ARRIVAL - ETA DURBAN: 27-08-2024</t>
  </si>
  <si>
    <t>COMMENTS 13-08-2024</t>
  </si>
  <si>
    <t>AWAITING VESSEL ARRIVAL - ETA DURBAN: 06-09-2024</t>
  </si>
  <si>
    <t>COMMENTS 14-08-2024</t>
  </si>
  <si>
    <t>COMMENTS 15-08-2024</t>
  </si>
  <si>
    <t>COMMENTS 16-08-2024</t>
  </si>
  <si>
    <t>AWAITING VESSEL ARRIVAL - ETA DURBAN: 29-08-2024</t>
  </si>
  <si>
    <t>COMMENTS 19-08-2024</t>
  </si>
  <si>
    <t>AWAITING VESSEL ARRIVAL - ETA DURBAN: 01-09-2024</t>
  </si>
  <si>
    <t>COMMENTS 20-08-2024</t>
  </si>
  <si>
    <t>COMMENTS 21-08-2024</t>
  </si>
  <si>
    <t>COMMENTS 22-08-2024</t>
  </si>
  <si>
    <t>VESSEL: UNDINE Voy. 032 - ETA DURBAN: 04-09-2024</t>
  </si>
  <si>
    <t>AWAITING VESSEL ARRIVAL - ETA DURBAN: 04-09-2024</t>
  </si>
  <si>
    <t>COMMENTS 23-08-2024</t>
  </si>
  <si>
    <t>AWAITING VESSEL ARRIVAL - ETA DURBAN: 02-09-2024</t>
  </si>
  <si>
    <t>COMMENTS 26-08-2024</t>
  </si>
  <si>
    <t>COMMENTS 27-08-2024</t>
  </si>
  <si>
    <t>AWAITING VESSEL ARRIVAL - ETA DURBAN: 30-08-2024</t>
  </si>
  <si>
    <t>DAR 15025558</t>
  </si>
  <si>
    <t>DAR 15025557</t>
  </si>
  <si>
    <t>COMMENTS 28-08-2024</t>
  </si>
  <si>
    <t>VESSEL: AS CHRISTIANA Voy. 428S - ETA DURBAN: 31-08-2024</t>
  </si>
  <si>
    <t>AWAITING VESSEL ARRIVAL - ETA DURBAN: 31-08-2024</t>
  </si>
  <si>
    <t>COMMENTS 29-08-2024</t>
  </si>
  <si>
    <t>COMMENTS 30-08-2024</t>
  </si>
  <si>
    <t>COMMENTS 02-09-2024</t>
  </si>
  <si>
    <t>31-08-2024</t>
  </si>
  <si>
    <t>COMMENTS 03-09-2024</t>
  </si>
  <si>
    <t>CONTAINER TO BE COLLECTED FROM PORT</t>
  </si>
  <si>
    <t>COMMENTS 04-09-2024</t>
  </si>
  <si>
    <t xml:space="preserve">UNIT AT FML BONDED FACILITY </t>
  </si>
  <si>
    <t xml:space="preserve">CONTAINER COLLECTED FROM PORT TO BE UNPACKED TODAY AT FML BONDED FACILITY </t>
  </si>
  <si>
    <t>REMOVAL FROM BOND REQUIRED DATE ON OR BEFORE</t>
  </si>
  <si>
    <t>BOND EXPIRY DATE</t>
  </si>
  <si>
    <t>DATE RECEIVED INTO BONDED FACILITY</t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</si>
  <si>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SEPTEMBER 2024</t>
    </r>
  </si>
  <si>
    <t>03-09-2024</t>
  </si>
  <si>
    <t>08-01-2025</t>
  </si>
  <si>
    <t>08-02-2025</t>
  </si>
  <si>
    <t xml:space="preserve">HANDLING </t>
  </si>
  <si>
    <r>
      <rPr>
        <b/>
        <sz val="11"/>
        <color rgb="FFFF0000"/>
        <rFont val="Calibri"/>
        <family val="2"/>
        <scheme val="minor"/>
      </rPr>
      <t>SEPTEMBER 2024</t>
    </r>
    <r>
      <rPr>
        <b/>
        <sz val="11"/>
        <color theme="1"/>
        <rFont val="Calibri"/>
        <family val="2"/>
        <scheme val="minor"/>
      </rPr>
      <t xml:space="preserve"> - STORAGE PER MONTH @ R200 PER DAY PER UNIT (10 DAYS FREE STORAGE )</t>
    </r>
  </si>
  <si>
    <t>COMMENTS 05-09-2024</t>
  </si>
  <si>
    <t>04-09-2024</t>
  </si>
  <si>
    <t xml:space="preserve">VESSEL IN AND WORKING </t>
  </si>
  <si>
    <t>COMMENTS 20-09-2024</t>
  </si>
  <si>
    <t>LOADED FROM WAREHOUSE 20-09-2024</t>
  </si>
  <si>
    <t>DELIVERED 10-10-2024</t>
  </si>
  <si>
    <t>DELIVERED 15-10-2024</t>
  </si>
  <si>
    <t>DELIVERING TODAY 16-10-2024</t>
  </si>
  <si>
    <t>BN39KGZN</t>
  </si>
  <si>
    <t>BK82PRZN</t>
  </si>
  <si>
    <t>31-10-2024</t>
  </si>
  <si>
    <t>01-11-2024</t>
  </si>
  <si>
    <t>02-11-2024</t>
  </si>
  <si>
    <t>04-11-2024</t>
  </si>
  <si>
    <t>OFFLOADED 04-11-2024</t>
  </si>
  <si>
    <t>UNIT RECIVED INTO BOND 05-09-2024 - LOADED OUT OF BOND 11-12-2024</t>
  </si>
  <si>
    <t>LOADED YESTERDAY - CURRENTLY ENROUTE KOPFONTEIN BORDER</t>
  </si>
  <si>
    <t>12-12-2024</t>
  </si>
  <si>
    <t xml:space="preserve">GREYTOWN - ROAD CLOSED DUE TO A ACCIDENT </t>
  </si>
  <si>
    <t>GREYTOWN - DISPATCHING FOR THE BORDER</t>
  </si>
  <si>
    <t xml:space="preserve">JOHANNESBURG AWAITING PERMIT TO PROCEED TO KOPFONTEIN </t>
  </si>
  <si>
    <t>17-12-2024</t>
  </si>
  <si>
    <t xml:space="preserve">JOHANNESBURG AWAITING CROSS BORDER PERMIT TO PROCEED TO KOPFONTEIN </t>
  </si>
  <si>
    <t>23-12-2024</t>
  </si>
  <si>
    <t xml:space="preserve">KOPFONTEIN BORDER CLEARING </t>
  </si>
  <si>
    <t>24-12-2024</t>
  </si>
  <si>
    <t>25-12-2024</t>
  </si>
  <si>
    <t>OFFLOADED 25-12-2024</t>
  </si>
  <si>
    <t>2412DSI2649</t>
  </si>
  <si>
    <t>VESSEL: LEO SPIRIT Voy. 0073A - ETA DURBAN: 09-01-2025</t>
  </si>
  <si>
    <t>AWAITING VESSEL ARRIVAL - ETA DURBAN 09-01-2025</t>
  </si>
  <si>
    <t>TBA</t>
  </si>
  <si>
    <t xml:space="preserve">CASE 885B MOTOR GRADER </t>
  </si>
  <si>
    <t>HBZN0885VPAF10196</t>
  </si>
  <si>
    <t xml:space="preserve">CASE CX220 CRAWLER EXCAVATOR </t>
  </si>
  <si>
    <t>S332501PRF0003</t>
  </si>
  <si>
    <t>S332501PRF0004</t>
  </si>
  <si>
    <t>S332501PRF0005</t>
  </si>
  <si>
    <t>JRKA01450</t>
  </si>
  <si>
    <t>NKJ22CLMJRKA01450</t>
  </si>
  <si>
    <t>2501DSI2653</t>
  </si>
  <si>
    <t>VESSEL: ALLIANCE NORFOLK Voy. 140 - ETA DURBAN: 10-01-2025</t>
  </si>
  <si>
    <t xml:space="preserve">VESSEL DUE TO ARRIVE TODAY </t>
  </si>
  <si>
    <t>AWAITING VESSEL ARRIVAL - ETA DURBAN: 10-01-2025</t>
  </si>
  <si>
    <t>CRKA01451</t>
  </si>
  <si>
    <t>NKJ22CLMCRKA01451</t>
  </si>
  <si>
    <t>VRKA01452</t>
  </si>
  <si>
    <t>NKJ22CLMVRKA01452</t>
  </si>
  <si>
    <t>09-01-2025</t>
  </si>
  <si>
    <t>10-01-2025</t>
  </si>
  <si>
    <t xml:space="preserve">COLLECTED FROM PORT YESTERDAY - UNIT TO BE DELIVERED AM TODAY </t>
  </si>
  <si>
    <t>VESSEL DUE TO ARRIVE TODAY</t>
  </si>
  <si>
    <t>KANU EQUIPMENT</t>
  </si>
  <si>
    <t>VRKA01287</t>
  </si>
  <si>
    <t>NKJ22CLMVRKA01287</t>
  </si>
  <si>
    <t>ARKA01288</t>
  </si>
  <si>
    <t>NKJ22CLMARKA01288</t>
  </si>
  <si>
    <t>2501DSI2654</t>
  </si>
  <si>
    <t>VESSEL: CATTLEYA ACE Voy. 0099A - ETA DURBAN: 18-01-2025</t>
  </si>
  <si>
    <t>DELIVERED 10-01-2025</t>
  </si>
  <si>
    <t>COLLECTED FORM PORT 12-01-2025</t>
  </si>
  <si>
    <t>BP43GGZN</t>
  </si>
  <si>
    <t>BJ85MZZN</t>
  </si>
  <si>
    <t>ND142761</t>
  </si>
  <si>
    <t>ND542263</t>
  </si>
  <si>
    <t>BL64MKZN</t>
  </si>
  <si>
    <t>ND702944</t>
  </si>
  <si>
    <t>VAN REENEN ENROUTE JOHANNESBURG</t>
  </si>
  <si>
    <t>VAN REENEN ENROUTE BRACKENFELL</t>
  </si>
  <si>
    <t>14-01-2025</t>
  </si>
  <si>
    <t>OFFLOADED 14-01-2025</t>
  </si>
  <si>
    <t>COLESBERG ENROUTE BRACKENFELL</t>
  </si>
  <si>
    <t>ENROUTE BRACKENFELL - TO ARRIVE BEFORE 12H00 TODAY</t>
  </si>
  <si>
    <t>16-01-2025</t>
  </si>
  <si>
    <t>OFFLOADED 16-01-2025</t>
  </si>
  <si>
    <t>18-01-2025</t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</si>
  <si>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JANUARY 2025</t>
    </r>
  </si>
  <si>
    <t>21-01-2025</t>
  </si>
  <si>
    <t>15-07-2025</t>
  </si>
  <si>
    <t>15-06-2025</t>
  </si>
  <si>
    <t xml:space="preserve">TOTAL COST PER UNIT </t>
  </si>
  <si>
    <r>
      <rPr>
        <b/>
        <sz val="11"/>
        <color rgb="FFFF0000"/>
        <rFont val="Calibri"/>
        <family val="2"/>
        <scheme val="minor"/>
      </rPr>
      <t>JANUARY 2025</t>
    </r>
    <r>
      <rPr>
        <b/>
        <sz val="11"/>
        <color theme="1"/>
        <rFont val="Calibri"/>
        <family val="2"/>
        <scheme val="minor"/>
      </rPr>
      <t xml:space="preserve"> - STORAGE PER MONTH @ R200 PER DAY PER UNIT</t>
    </r>
    <r>
      <rPr>
        <b/>
        <sz val="11"/>
        <color rgb="FFFF0000"/>
        <rFont val="Calibri"/>
        <family val="2"/>
        <scheme val="minor"/>
      </rPr>
      <t xml:space="preserve"> (10 DAYS FREE STORAGE )</t>
    </r>
  </si>
  <si>
    <t>CAPE TOWN ARR</t>
  </si>
  <si>
    <t>ON SITE ARRIVE</t>
  </si>
  <si>
    <t xml:space="preserve">OFFLOADED </t>
  </si>
  <si>
    <t>KIYARA - ZN</t>
  </si>
  <si>
    <t>COMMENTS  -11-02-2025</t>
  </si>
  <si>
    <t>BB35DY-ZN</t>
  </si>
  <si>
    <t>DISPATCHING DURBAN</t>
  </si>
  <si>
    <t xml:space="preserve">HANOVER ENROUTE CAPE TOWN </t>
  </si>
  <si>
    <t>11-02-2025</t>
  </si>
  <si>
    <t xml:space="preserve">AWAITING PERMIT BEFORE DISPATCHING </t>
  </si>
  <si>
    <t>COMMENTS  12-02-2025</t>
  </si>
  <si>
    <t>BS53XH-AN</t>
  </si>
  <si>
    <t>NUR 60835</t>
  </si>
  <si>
    <t>COMMENTS  13-02-2025</t>
  </si>
  <si>
    <t xml:space="preserve">VEHICLE TO ARRIVE ON SITE TODAY FOR OFFLOADING </t>
  </si>
  <si>
    <t xml:space="preserve">BLOEMFONTEIN ENROUTE CAPE TOWN </t>
  </si>
  <si>
    <t>13-02-2025</t>
  </si>
  <si>
    <t>12-02-2025</t>
  </si>
  <si>
    <t>OFFLOADED 13-02-2025</t>
  </si>
  <si>
    <t>BEAUFORT WEST ENROUTE CAPE TOWN</t>
  </si>
  <si>
    <t>COMMENTS  14-02-2025</t>
  </si>
  <si>
    <t>CASE 821F WHEEL LOADER</t>
  </si>
  <si>
    <t>NZHE16994</t>
  </si>
  <si>
    <t>FNH821F1NZHE16994</t>
  </si>
  <si>
    <t>2502DSI2673</t>
  </si>
  <si>
    <t>NZHE16995</t>
  </si>
  <si>
    <t>FNH821F1NZHE16995</t>
  </si>
  <si>
    <t>AWAITING VESSEL ARRIVAL - ETA DURBAN 21-02-2025</t>
  </si>
  <si>
    <t>14-02-2025</t>
  </si>
  <si>
    <t>OFFLOADED 14-02-2025</t>
  </si>
  <si>
    <t>AWAITING VESSEL ARRIVAL - ETA DURBAN 23-02-2025</t>
  </si>
  <si>
    <t>VESSEL: HOEGH TRIGGER Voy. 54 - ETA DURBAN: 23-02-2025</t>
  </si>
  <si>
    <t>23-02-2025</t>
  </si>
  <si>
    <t xml:space="preserve">VESSEL ARRIVED YESTERDAY - UNIT TO BE COLLECTED FROM PORT TODAY </t>
  </si>
  <si>
    <t xml:space="preserve">UNIT AT BONDED FACILITY </t>
  </si>
  <si>
    <t>24-02-2025</t>
  </si>
  <si>
    <t>18-08-2025</t>
  </si>
  <si>
    <t>18-07-2025</t>
  </si>
  <si>
    <t>25-02-2025</t>
  </si>
  <si>
    <t>5 FREE DAYS</t>
  </si>
  <si>
    <t xml:space="preserve">4 FREE DAYS </t>
  </si>
  <si>
    <t>BF77JSZN</t>
  </si>
  <si>
    <t>CS10MSZN</t>
  </si>
  <si>
    <t>BJ68NDZN</t>
  </si>
  <si>
    <t>ND320772</t>
  </si>
  <si>
    <t>OFFLOADED 20-06-2025</t>
  </si>
  <si>
    <t>CASE885B MOTOR GRADER</t>
  </si>
  <si>
    <t>CNHI INTERNATIONAL / EQUIPMENT SALES (KANU EQUIPMENT)</t>
  </si>
  <si>
    <t>NSAF10830</t>
  </si>
  <si>
    <t>HBZN885CPSAF10830</t>
  </si>
  <si>
    <t>2509DSI2719</t>
  </si>
  <si>
    <t>AWAITING VESSEL ARRIVAL - ETA DURBAN 05-10-2025</t>
  </si>
  <si>
    <t>AWAITING VESSEL ARRIVAL - ETA DURBAN 075-10-2025</t>
  </si>
  <si>
    <t>AWAITING VESSEL ARRIVAL - ETA DURBAN 07-10-2025</t>
  </si>
  <si>
    <t>VESSEL: PARADISE ACE Voy. 0161A - ETA DURBAN: 05-10-2025</t>
  </si>
  <si>
    <t>HBZN885CKSAF10893</t>
  </si>
  <si>
    <t>KSAF10893</t>
  </si>
  <si>
    <t>AWAITING VESSEL ARRIVAL - ETA DURBAN 27-10-2025</t>
  </si>
  <si>
    <t>2510DSI2722</t>
  </si>
  <si>
    <t>SIN2509S3302757</t>
  </si>
  <si>
    <t>AWAITING VESSEL ARRIVAL - ETA DURBAN 08-10-2025</t>
  </si>
  <si>
    <t xml:space="preserve">VESSEL DUE TO BIRTH TODAY </t>
  </si>
  <si>
    <t>08-10-2025</t>
  </si>
  <si>
    <t xml:space="preserve">UNIT COLLECTED FROM PORT - TO BE DELIVERED TODAY </t>
  </si>
  <si>
    <t>DELIVERED 10-10-2025</t>
  </si>
  <si>
    <t>AWAITING VESSEL ARRIVAL - ETA DURBAN 29-10-2025</t>
  </si>
  <si>
    <t>AWAITING VESSEL ARRIVAL - ETA DURBAN 28-10-2025</t>
  </si>
  <si>
    <t>VESSEL: ELEGANT  ACE Voy. 0094A - ETA DURBAN: 29-10-2025</t>
  </si>
  <si>
    <t>29-10-2025</t>
  </si>
  <si>
    <t xml:space="preserve">TO COLLECT THE UNIT FROM PORT </t>
  </si>
  <si>
    <t>30-10-2025</t>
  </si>
  <si>
    <t>31-10-2025</t>
  </si>
  <si>
    <t>COLLECTED FROM PORT 30-10-2025 - ARRIVED ON STIE 31-10-2025 - OFFLOADED 31-10-2025</t>
  </si>
  <si>
    <t>COMMENTS  13-01-2026</t>
  </si>
  <si>
    <t>INV,2551059288</t>
  </si>
  <si>
    <t>INV,2551059294</t>
  </si>
  <si>
    <t>CASE885 GRADER</t>
  </si>
  <si>
    <t xml:space="preserve">CASE CONTRUCTIONS / KANU EQUIPMENT </t>
  </si>
  <si>
    <t>NSAF10925</t>
  </si>
  <si>
    <t>HBZN885CPSAF10925</t>
  </si>
  <si>
    <t>2512DSI2750</t>
  </si>
  <si>
    <t>VESSEL: NEPTUNE ACE Voy. 0119A - ETA DURBAN: 10-01-2026</t>
  </si>
  <si>
    <t>NSAF10899</t>
  </si>
  <si>
    <t>HBZN885CHASF10899</t>
  </si>
  <si>
    <t xml:space="preserve">DELIVERING TO PORT TODAY </t>
  </si>
  <si>
    <t>10-01-2026</t>
  </si>
  <si>
    <t>AT BONDED FACILITY 12-01-2026</t>
  </si>
  <si>
    <t>COMMENTS  14-01-2026</t>
  </si>
  <si>
    <t>AT BONDED FACILITY 13-01-2026</t>
  </si>
  <si>
    <t>COMMENTS  15-01-2026</t>
  </si>
  <si>
    <t>COMMENTS  16-01-2026</t>
  </si>
  <si>
    <t>COMMENTS  19-01-2026</t>
  </si>
  <si>
    <t>COMMENTS  20-01-2026</t>
  </si>
  <si>
    <t>COMMENTS  21-01-2026</t>
  </si>
  <si>
    <t>COMMENTS  22-01-2026</t>
  </si>
  <si>
    <t>13-01-2026</t>
  </si>
  <si>
    <t>12-01-2026</t>
  </si>
  <si>
    <r>
      <rPr>
        <b/>
        <sz val="11"/>
        <color rgb="FFFF0000"/>
        <rFont val="Calibri"/>
        <family val="2"/>
        <scheme val="minor"/>
      </rPr>
      <t>JANUARY 2026</t>
    </r>
    <r>
      <rPr>
        <b/>
        <sz val="11"/>
        <color theme="1"/>
        <rFont val="Calibri"/>
        <family val="2"/>
        <scheme val="minor"/>
      </rPr>
      <t xml:space="preserve"> - STORAGE PER MONTH @ R250 PER DAY PER UNIT</t>
    </r>
    <r>
      <rPr>
        <b/>
        <sz val="11"/>
        <color rgb="FFFF0000"/>
        <rFont val="Calibri"/>
        <family val="2"/>
        <scheme val="minor"/>
      </rPr>
      <t xml:space="preserve"> (7 DAYS FREE STORAGE )</t>
    </r>
  </si>
  <si>
    <t>07-06-2026</t>
  </si>
  <si>
    <t>07-07-2026</t>
  </si>
  <si>
    <t>HANDLING IN</t>
  </si>
  <si>
    <t>HANDLING OUT</t>
  </si>
  <si>
    <r>
      <rPr>
        <b/>
        <sz val="11"/>
        <color rgb="FFFF0000"/>
        <rFont val="Calibri"/>
        <family val="2"/>
        <scheme val="minor"/>
      </rPr>
      <t>FEBRUARY 2026</t>
    </r>
    <r>
      <rPr>
        <b/>
        <sz val="11"/>
        <color theme="1"/>
        <rFont val="Calibri"/>
        <family val="2"/>
        <scheme val="minor"/>
      </rPr>
      <t xml:space="preserve"> - STORAGE PER MONTH @ R250 PER DAY PER UNIT</t>
    </r>
    <r>
      <rPr>
        <b/>
        <sz val="11"/>
        <color rgb="FFFF0000"/>
        <rFont val="Calibri"/>
        <family val="2"/>
        <scheme val="minor"/>
      </rPr>
      <t xml:space="preserve"> (7 DAYS FREE STORAGE )</t>
    </r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</si>
  <si>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FEBRUARY 2026</t>
    </r>
  </si>
  <si>
    <r>
      <rPr>
        <b/>
        <sz val="11"/>
        <color rgb="FFFF0000"/>
        <rFont val="Calibri"/>
        <family val="2"/>
        <scheme val="minor"/>
      </rPr>
      <t>MARCH 2026</t>
    </r>
    <r>
      <rPr>
        <b/>
        <sz val="11"/>
        <color theme="1"/>
        <rFont val="Calibri"/>
        <family val="2"/>
        <scheme val="minor"/>
      </rPr>
      <t xml:space="preserve"> - STORAGE PER MONTH @ R250 PER DAY PER UNIT</t>
    </r>
    <r>
      <rPr>
        <b/>
        <sz val="11"/>
        <color rgb="FFFF0000"/>
        <rFont val="Calibri"/>
        <family val="2"/>
        <scheme val="minor"/>
      </rPr>
      <t xml:space="preserve"> (7 DAYS FREE STORAGE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</si>
</sst>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Arial Narrow"/>
      <family val="2"/>
    </font>
  </fonts>
  <fills count="3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7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2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2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2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2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2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2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1" fillId="35" borderId="1" xfId="0" applyFont="1" applyFill="1" applyBorder="1" applyAlignment="1">
      <alignment vertical="center" wrapText="1"/>
    </xf>
    <xf numFmtId="0" fontId="2" fillId="36" borderId="1" xfId="0" applyFont="1" applyFill="1" applyBorder="1" applyAlignment="1">
      <alignment horizontal="center" vertical="center"/>
    </xf>
    <xf numFmtId="164" fontId="2" fillId="34" borderId="1" xfId="0" applyNumberFormat="1" applyFont="1" applyFill="1" applyBorder="1" applyAlignment="1">
      <alignment horizontal="center" vertical="center"/>
    </xf>
    <xf numFmtId="0" fontId="25" fillId="34" borderId="0" xfId="0" applyFont="1" applyFill="1" applyAlignment="1">
      <alignment horizontal="center" vertical="center"/>
    </xf>
    <xf numFmtId="0" fontId="2" fillId="37" borderId="1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/>
    </xf>
    <xf numFmtId="164" fontId="2" fillId="37" borderId="1" xfId="0" applyNumberFormat="1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</xdr:colOff>
      <xdr:row>0</xdr:row>
      <xdr:rowOff>165741</xdr:rowOff>
    </xdr:from>
    <xdr:to>
      <xdr:col>2</xdr:col>
      <xdr:colOff>322885</xdr:colOff>
      <xdr:row>4</xdr:row>
      <xdr:rowOff>116205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DDDD6-86C2-46D2-8780-8935D8CA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" y="165741"/>
          <a:ext cx="2575653" cy="1146804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0</xdr:row>
      <xdr:rowOff>18336</xdr:rowOff>
    </xdr:from>
    <xdr:to>
      <xdr:col>11</xdr:col>
      <xdr:colOff>129540</xdr:colOff>
      <xdr:row>3</xdr:row>
      <xdr:rowOff>169673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838510-3250-05F1-E36F-4E375F065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1375" y="18336"/>
          <a:ext cx="2491740" cy="10924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171451</xdr:rowOff>
    </xdr:from>
    <xdr:to>
      <xdr:col>1</xdr:col>
      <xdr:colOff>1005840</xdr:colOff>
      <xdr:row>4</xdr:row>
      <xdr:rowOff>131446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CF50FA-7A51-4EC0-AFF1-A49694479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71451"/>
          <a:ext cx="2177415" cy="116205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0</xdr:row>
      <xdr:rowOff>18336</xdr:rowOff>
    </xdr:from>
    <xdr:to>
      <xdr:col>7</xdr:col>
      <xdr:colOff>781050</xdr:colOff>
      <xdr:row>6</xdr:row>
      <xdr:rowOff>21083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C1FE8B-4941-4364-A673-4A0F1D722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91425" y="22146"/>
          <a:ext cx="2495550" cy="10847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</xdr:colOff>
      <xdr:row>0</xdr:row>
      <xdr:rowOff>255276</xdr:rowOff>
    </xdr:from>
    <xdr:to>
      <xdr:col>1</xdr:col>
      <xdr:colOff>1238250</xdr:colOff>
      <xdr:row>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DDACF8-BFE5-4719-80CD-8859CF211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" y="255276"/>
          <a:ext cx="2360295" cy="1097274"/>
        </a:xfrm>
        <a:prstGeom prst="rect">
          <a:avLst/>
        </a:prstGeom>
      </xdr:spPr>
    </xdr:pic>
    <xdr:clientData/>
  </xdr:twoCellAnchor>
  <xdr:twoCellAnchor editAs="oneCell">
    <xdr:from>
      <xdr:col>5</xdr:col>
      <xdr:colOff>219075</xdr:colOff>
      <xdr:row>0</xdr:row>
      <xdr:rowOff>104061</xdr:rowOff>
    </xdr:from>
    <xdr:to>
      <xdr:col>10</xdr:col>
      <xdr:colOff>704850</xdr:colOff>
      <xdr:row>4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3D4D64-C6B9-420B-8857-86BB66E99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05650" y="104061"/>
          <a:ext cx="2567940" cy="11722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251459</xdr:colOff>
      <xdr:row>0</xdr:row>
      <xdr:rowOff>100971</xdr:rowOff>
    </xdr:from>
    <xdr:to>
      <xdr:col>2</xdr:col>
      <xdr:colOff>706755</xdr:colOff>
      <xdr:row>5</xdr:row>
      <xdr:rowOff>72694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822CCA-5061-47B9-9BFA-43687F416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59" y="100971"/>
          <a:ext cx="2205991" cy="1343323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0</xdr:row>
      <xdr:rowOff>123111</xdr:rowOff>
    </xdr:from>
    <xdr:to>
      <xdr:col>7</xdr:col>
      <xdr:colOff>167640</xdr:colOff>
      <xdr:row>5</xdr:row>
      <xdr:rowOff>53963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8A78F7-8F16-4A78-81F1-0BAE6DBEC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4050" y="123111"/>
          <a:ext cx="2145030" cy="1298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202-D943-4993-9CA2-707B569A2C99}">
  <dimension ref="A1:AJ9"/>
  <sheetViews>
    <sheetView tabSelected="1" topLeftCell="K4" zoomScale="90" zoomScaleNormal="90" workbookViewId="0">
      <selection activeCell="AJ10" sqref="AJ10"/>
    </sheetView>
  </sheetViews>
  <sheetFormatPr defaultColWidth="9.109375" defaultRowHeight="14.4" x14ac:dyDescent="0.3"/>
  <cols>
    <col min="1" max="1" width="15.109375" style="3" customWidth="1"/>
    <col min="2" max="2" width="18.88671875" style="3" customWidth="1"/>
    <col min="3" max="3" width="21.109375" style="3" customWidth="1"/>
    <col min="4" max="4" width="13.109375" style="3" customWidth="1"/>
    <col min="5" max="5" width="18.6640625" style="3" customWidth="1"/>
    <col min="6" max="6" width="10.21875" style="3" customWidth="1"/>
    <col min="7" max="7" width="12.5546875" style="3" customWidth="1"/>
    <col min="8" max="8" width="13.5546875" style="3" hidden="1" customWidth="1"/>
    <col min="9" max="9" width="11.88671875" style="3" hidden="1" customWidth="1"/>
    <col min="10" max="10" width="14.5546875" style="3" hidden="1" customWidth="1"/>
    <col min="11" max="11" width="16" style="3" customWidth="1"/>
    <col min="12" max="12" width="18" style="13" customWidth="1"/>
    <col min="13" max="13" width="10.6640625" style="3" customWidth="1"/>
    <col min="14" max="17" width="10.6640625" style="3" hidden="1" customWidth="1"/>
    <col min="18" max="18" width="26.109375" style="3" hidden="1" customWidth="1"/>
    <col min="19" max="24" width="29.44140625" style="3" hidden="1" customWidth="1"/>
    <col min="25" max="25" width="26.109375" style="3" hidden="1" customWidth="1"/>
    <col min="26" max="26" width="14.44140625" style="3" customWidth="1"/>
    <col min="27" max="27" width="15.21875" style="3" customWidth="1"/>
    <col min="28" max="28" width="13.44140625" style="3" customWidth="1"/>
    <col min="29" max="30" width="12.33203125" style="3" customWidth="1"/>
    <col min="31" max="31" width="19.77734375" style="3" hidden="1" customWidth="1"/>
    <col min="32" max="33" width="19.77734375" style="3" customWidth="1"/>
    <col min="34" max="34" width="16.109375" style="3" customWidth="1"/>
    <col min="35" max="35" width="13.88671875" style="3" customWidth="1"/>
    <col min="36" max="16384" width="9.109375" style="3"/>
  </cols>
  <sheetData>
    <row r="1" spans="1:36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6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6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6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6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6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6" s="11" customFormat="1" ht="72" x14ac:dyDescent="0.3">
      <c r="A7" s="9" t="s">
        <v>92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272</v>
      </c>
      <c r="P7" s="9" t="s">
        <v>273</v>
      </c>
      <c r="Q7" s="9" t="s">
        <v>274</v>
      </c>
      <c r="R7" s="9" t="s">
        <v>345</v>
      </c>
      <c r="S7" s="9" t="s">
        <v>361</v>
      </c>
      <c r="T7" s="9" t="s">
        <v>362</v>
      </c>
      <c r="U7" s="9" t="s">
        <v>363</v>
      </c>
      <c r="V7" s="9" t="s">
        <v>364</v>
      </c>
      <c r="W7" s="9" t="s">
        <v>365</v>
      </c>
      <c r="X7" s="9" t="s">
        <v>366</v>
      </c>
      <c r="Y7" s="9" t="s">
        <v>359</v>
      </c>
      <c r="Z7" s="17" t="s">
        <v>183</v>
      </c>
      <c r="AA7" s="17" t="s">
        <v>181</v>
      </c>
      <c r="AB7" s="17" t="s">
        <v>182</v>
      </c>
      <c r="AC7" s="17" t="s">
        <v>372</v>
      </c>
      <c r="AD7" s="17" t="s">
        <v>373</v>
      </c>
      <c r="AE7" s="18" t="s">
        <v>369</v>
      </c>
      <c r="AF7" s="18" t="s">
        <v>374</v>
      </c>
      <c r="AG7" s="18" t="s">
        <v>376</v>
      </c>
      <c r="AH7" s="18" t="s">
        <v>375</v>
      </c>
      <c r="AI7" s="17" t="s">
        <v>270</v>
      </c>
    </row>
    <row r="8" spans="1:36" s="16" customFormat="1" ht="79.2" customHeight="1" x14ac:dyDescent="0.3">
      <c r="A8" s="15" t="s">
        <v>346</v>
      </c>
      <c r="B8" s="14" t="s">
        <v>348</v>
      </c>
      <c r="C8" s="14" t="s">
        <v>349</v>
      </c>
      <c r="D8" s="14" t="s">
        <v>354</v>
      </c>
      <c r="E8" s="15" t="s">
        <v>355</v>
      </c>
      <c r="F8" s="14">
        <v>6330873</v>
      </c>
      <c r="G8" s="15" t="s">
        <v>352</v>
      </c>
      <c r="H8" s="15"/>
      <c r="I8" s="15"/>
      <c r="J8" s="15"/>
      <c r="K8" s="14" t="s">
        <v>353</v>
      </c>
      <c r="L8" s="12" t="s">
        <v>360</v>
      </c>
      <c r="M8" s="15" t="s">
        <v>357</v>
      </c>
      <c r="N8" s="15"/>
      <c r="O8" s="15"/>
      <c r="P8" s="15"/>
      <c r="Q8" s="15"/>
      <c r="R8" s="12" t="s">
        <v>356</v>
      </c>
      <c r="S8" s="12" t="s">
        <v>360</v>
      </c>
      <c r="T8" s="12" t="s">
        <v>360</v>
      </c>
      <c r="U8" s="12" t="s">
        <v>360</v>
      </c>
      <c r="V8" s="12" t="s">
        <v>360</v>
      </c>
      <c r="W8" s="12" t="s">
        <v>360</v>
      </c>
      <c r="X8" s="12" t="s">
        <v>360</v>
      </c>
      <c r="Y8" s="12" t="s">
        <v>360</v>
      </c>
      <c r="Z8" s="15" t="s">
        <v>367</v>
      </c>
      <c r="AA8" s="19" t="s">
        <v>370</v>
      </c>
      <c r="AB8" s="15" t="s">
        <v>371</v>
      </c>
      <c r="AC8" s="20">
        <v>5100</v>
      </c>
      <c r="AD8" s="20">
        <v>5100</v>
      </c>
      <c r="AE8" s="20">
        <v>3000</v>
      </c>
      <c r="AF8" s="20">
        <v>7000</v>
      </c>
      <c r="AG8" s="20">
        <f>SUM(AH8*250)</f>
        <v>1500</v>
      </c>
      <c r="AH8" s="15">
        <f>SUM(AJ8)</f>
        <v>6</v>
      </c>
      <c r="AI8" s="20">
        <f>SUM(AC8+AD8+AE8+AG8+AF8)</f>
        <v>21700</v>
      </c>
      <c r="AJ8" s="21">
        <v>6</v>
      </c>
    </row>
    <row r="9" spans="1:36" s="16" customFormat="1" ht="79.2" customHeight="1" x14ac:dyDescent="0.3">
      <c r="A9" s="15" t="s">
        <v>347</v>
      </c>
      <c r="B9" s="14" t="s">
        <v>348</v>
      </c>
      <c r="C9" s="14" t="s">
        <v>349</v>
      </c>
      <c r="D9" s="14" t="s">
        <v>350</v>
      </c>
      <c r="E9" s="15" t="s">
        <v>351</v>
      </c>
      <c r="F9" s="14">
        <v>6331830</v>
      </c>
      <c r="G9" s="15" t="s">
        <v>352</v>
      </c>
      <c r="H9" s="15"/>
      <c r="I9" s="15"/>
      <c r="J9" s="15"/>
      <c r="K9" s="14" t="s">
        <v>353</v>
      </c>
      <c r="L9" s="12" t="s">
        <v>358</v>
      </c>
      <c r="M9" s="15" t="s">
        <v>239</v>
      </c>
      <c r="N9" s="15"/>
      <c r="O9" s="15"/>
      <c r="P9" s="15"/>
      <c r="Q9" s="15"/>
      <c r="R9" s="12" t="s">
        <v>358</v>
      </c>
      <c r="S9" s="12" t="s">
        <v>358</v>
      </c>
      <c r="T9" s="12" t="s">
        <v>358</v>
      </c>
      <c r="U9" s="12" t="s">
        <v>358</v>
      </c>
      <c r="V9" s="12" t="s">
        <v>358</v>
      </c>
      <c r="W9" s="12" t="s">
        <v>358</v>
      </c>
      <c r="X9" s="12" t="s">
        <v>358</v>
      </c>
      <c r="Y9" s="12" t="s">
        <v>358</v>
      </c>
      <c r="Z9" s="15" t="s">
        <v>368</v>
      </c>
      <c r="AA9" s="19" t="s">
        <v>370</v>
      </c>
      <c r="AB9" s="15" t="s">
        <v>371</v>
      </c>
      <c r="AC9" s="20">
        <v>5100</v>
      </c>
      <c r="AD9" s="20">
        <v>5100</v>
      </c>
      <c r="AE9" s="20">
        <v>3250</v>
      </c>
      <c r="AF9" s="20">
        <v>7000</v>
      </c>
      <c r="AG9" s="20">
        <f>SUM(AH9*250)</f>
        <v>1500</v>
      </c>
      <c r="AH9" s="15">
        <f>SUM(AJ9)</f>
        <v>6</v>
      </c>
      <c r="AI9" s="20">
        <f>SUM(AC9+AD9+AE9+AG9+AF9)</f>
        <v>21950</v>
      </c>
      <c r="AJ9" s="21">
        <v>6</v>
      </c>
    </row>
  </sheetData>
  <phoneticPr fontId="6" type="noConversion"/>
  <pageMargins left="0.7" right="0.7" top="0.75" bottom="0.75" header="0.3" footer="0.3"/>
  <pageSetup paperSize="9" orientation="portrait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3EE5-32D6-4A2B-8A50-4FEFA998AA69}">
  <dimension ref="A1:AT13"/>
  <sheetViews>
    <sheetView topLeftCell="A8" workbookViewId="0">
      <selection activeCell="A13" sqref="A13:AT13"/>
    </sheetView>
  </sheetViews>
  <sheetFormatPr defaultColWidth="9.109375" defaultRowHeight="14.4" x14ac:dyDescent="0.3"/>
  <cols>
    <col min="1" max="1" width="18.44140625" style="3" customWidth="1"/>
    <col min="2" max="2" width="25.44140625" style="3" customWidth="1"/>
    <col min="3" max="3" width="26.88671875" style="3" customWidth="1"/>
    <col min="4" max="4" width="16.77734375" style="3" customWidth="1"/>
    <col min="5" max="5" width="18.6640625" style="3" customWidth="1"/>
    <col min="6" max="6" width="13.5546875" style="3" customWidth="1"/>
    <col min="7" max="7" width="16.88671875" style="3" customWidth="1"/>
    <col min="8" max="8" width="13.5546875" style="3" customWidth="1"/>
    <col min="9" max="9" width="11.88671875" style="3" customWidth="1"/>
    <col min="10" max="10" width="14.5546875" style="3" hidden="1" customWidth="1"/>
    <col min="11" max="11" width="16" style="3" customWidth="1"/>
    <col min="12" max="12" width="24.6640625" style="13" customWidth="1"/>
    <col min="13" max="17" width="10.6640625" style="3" customWidth="1"/>
    <col min="18" max="20" width="26.109375" style="3" hidden="1" customWidth="1"/>
    <col min="21" max="21" width="26.109375" style="3" customWidth="1"/>
    <col min="22" max="22" width="14.44140625" style="3" customWidth="1"/>
    <col min="23" max="23" width="15.21875" style="3" customWidth="1"/>
    <col min="24" max="24" width="13.44140625" style="3" customWidth="1"/>
    <col min="25" max="25" width="12.33203125" style="3" customWidth="1"/>
    <col min="26" max="27" width="19.77734375" style="3" customWidth="1"/>
    <col min="28" max="28" width="16.109375" style="3" customWidth="1"/>
    <col min="29" max="29" width="13.88671875" style="3" customWidth="1"/>
    <col min="30" max="16384" width="9.109375" style="3"/>
  </cols>
  <sheetData>
    <row r="1" spans="1:46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46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46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46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46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46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46" s="11" customFormat="1" ht="72" x14ac:dyDescent="0.3">
      <c r="A7" s="9" t="s">
        <v>92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272</v>
      </c>
      <c r="P7" s="9" t="s">
        <v>273</v>
      </c>
      <c r="Q7" s="9" t="s">
        <v>274</v>
      </c>
      <c r="R7" s="9" t="s">
        <v>276</v>
      </c>
      <c r="S7" s="9" t="s">
        <v>282</v>
      </c>
      <c r="T7" s="9" t="s">
        <v>285</v>
      </c>
      <c r="U7" s="9" t="s">
        <v>292</v>
      </c>
      <c r="V7" s="17" t="s">
        <v>183</v>
      </c>
      <c r="W7" s="17" t="s">
        <v>181</v>
      </c>
      <c r="X7" s="17" t="s">
        <v>182</v>
      </c>
      <c r="Y7" s="17" t="s">
        <v>188</v>
      </c>
      <c r="Z7" s="18" t="s">
        <v>271</v>
      </c>
      <c r="AA7" s="18" t="s">
        <v>271</v>
      </c>
      <c r="AB7" s="18" t="s">
        <v>266</v>
      </c>
      <c r="AC7" s="17" t="s">
        <v>270</v>
      </c>
    </row>
    <row r="8" spans="1:46" s="16" customFormat="1" ht="79.2" customHeight="1" x14ac:dyDescent="0.3">
      <c r="A8" s="15"/>
      <c r="B8" s="14" t="s">
        <v>224</v>
      </c>
      <c r="C8" s="14" t="s">
        <v>242</v>
      </c>
      <c r="D8" s="14" t="s">
        <v>243</v>
      </c>
      <c r="E8" s="15" t="s">
        <v>244</v>
      </c>
      <c r="F8" s="14">
        <v>6247864</v>
      </c>
      <c r="G8" s="15" t="s">
        <v>247</v>
      </c>
      <c r="H8" s="15" t="s">
        <v>275</v>
      </c>
      <c r="I8" s="15" t="s">
        <v>277</v>
      </c>
      <c r="J8" s="15"/>
      <c r="K8" s="14" t="s">
        <v>248</v>
      </c>
      <c r="L8" s="12" t="s">
        <v>290</v>
      </c>
      <c r="M8" s="15" t="s">
        <v>265</v>
      </c>
      <c r="N8" s="15" t="s">
        <v>280</v>
      </c>
      <c r="O8" s="15" t="s">
        <v>288</v>
      </c>
      <c r="P8" s="15" t="s">
        <v>288</v>
      </c>
      <c r="Q8" s="15" t="s">
        <v>288</v>
      </c>
      <c r="R8" s="12" t="s">
        <v>278</v>
      </c>
      <c r="S8" s="12" t="s">
        <v>279</v>
      </c>
      <c r="T8" s="12" t="s">
        <v>286</v>
      </c>
      <c r="U8" s="12" t="s">
        <v>290</v>
      </c>
      <c r="V8" s="15" t="s">
        <v>267</v>
      </c>
      <c r="W8" s="19" t="s">
        <v>269</v>
      </c>
      <c r="X8" s="15" t="s">
        <v>268</v>
      </c>
      <c r="Y8" s="20">
        <v>5100</v>
      </c>
      <c r="Z8" s="20">
        <v>200</v>
      </c>
      <c r="AA8" s="20">
        <f>SUM(AD8*200)</f>
        <v>2000</v>
      </c>
      <c r="AB8" s="15">
        <f>SUM(11+AD8)</f>
        <v>21</v>
      </c>
      <c r="AC8" s="20">
        <f>SUM(Y8+Z8+AA8)</f>
        <v>7300</v>
      </c>
      <c r="AD8" s="21">
        <v>10</v>
      </c>
    </row>
    <row r="9" spans="1:46" s="16" customFormat="1" ht="79.2" customHeight="1" x14ac:dyDescent="0.3">
      <c r="A9" s="15"/>
      <c r="B9" s="14" t="s">
        <v>224</v>
      </c>
      <c r="C9" s="14" t="s">
        <v>242</v>
      </c>
      <c r="D9" s="14" t="s">
        <v>245</v>
      </c>
      <c r="E9" s="15" t="s">
        <v>246</v>
      </c>
      <c r="F9" s="14">
        <v>6252977</v>
      </c>
      <c r="G9" s="15" t="s">
        <v>247</v>
      </c>
      <c r="H9" s="15" t="s">
        <v>283</v>
      </c>
      <c r="I9" s="15" t="s">
        <v>284</v>
      </c>
      <c r="J9" s="15"/>
      <c r="K9" s="14" t="s">
        <v>248</v>
      </c>
      <c r="L9" s="12" t="s">
        <v>301</v>
      </c>
      <c r="M9" s="15" t="s">
        <v>265</v>
      </c>
      <c r="N9" s="15" t="s">
        <v>289</v>
      </c>
      <c r="O9" s="15" t="s">
        <v>300</v>
      </c>
      <c r="P9" s="15" t="s">
        <v>300</v>
      </c>
      <c r="Q9" s="15" t="s">
        <v>300</v>
      </c>
      <c r="R9" s="12" t="s">
        <v>278</v>
      </c>
      <c r="S9" s="12" t="s">
        <v>281</v>
      </c>
      <c r="T9" s="12" t="s">
        <v>287</v>
      </c>
      <c r="U9" s="12" t="s">
        <v>291</v>
      </c>
      <c r="V9" s="12" t="s">
        <v>301</v>
      </c>
      <c r="W9" s="15" t="s">
        <v>267</v>
      </c>
      <c r="X9" s="19" t="s">
        <v>269</v>
      </c>
      <c r="Y9" s="15" t="s">
        <v>268</v>
      </c>
      <c r="Z9" s="20">
        <v>5100</v>
      </c>
      <c r="AA9" s="20">
        <v>200</v>
      </c>
      <c r="AB9" s="20">
        <f>SUM(AE9*200)</f>
        <v>0</v>
      </c>
      <c r="AC9" s="15">
        <f>SUM(11+AE9)</f>
        <v>11</v>
      </c>
      <c r="AD9" s="20">
        <f>SUM(Z9+AA9+AB9)</f>
        <v>5300</v>
      </c>
    </row>
    <row r="10" spans="1:46" s="16" customFormat="1" ht="79.2" customHeight="1" x14ac:dyDescent="0.3">
      <c r="A10" s="15"/>
      <c r="B10" s="14" t="s">
        <v>293</v>
      </c>
      <c r="C10" s="14" t="s">
        <v>242</v>
      </c>
      <c r="D10" s="14" t="s">
        <v>294</v>
      </c>
      <c r="E10" s="15" t="s">
        <v>295</v>
      </c>
      <c r="F10" s="14" t="s">
        <v>221</v>
      </c>
      <c r="G10" s="15" t="s">
        <v>296</v>
      </c>
      <c r="H10" s="15" t="s">
        <v>315</v>
      </c>
      <c r="I10" s="15" t="s">
        <v>316</v>
      </c>
      <c r="J10" s="15"/>
      <c r="K10" s="14" t="s">
        <v>303</v>
      </c>
      <c r="L10" s="12" t="s">
        <v>317</v>
      </c>
      <c r="M10" s="15" t="s">
        <v>304</v>
      </c>
      <c r="N10" s="15"/>
      <c r="O10" s="15"/>
      <c r="P10" s="15"/>
      <c r="Q10" s="15"/>
      <c r="R10" s="12" t="s">
        <v>299</v>
      </c>
      <c r="S10" s="12" t="s">
        <v>299</v>
      </c>
      <c r="T10" s="12" t="s">
        <v>299</v>
      </c>
      <c r="U10" s="12" t="s">
        <v>299</v>
      </c>
      <c r="V10" s="12" t="s">
        <v>302</v>
      </c>
      <c r="W10" s="12" t="s">
        <v>305</v>
      </c>
      <c r="X10" s="12" t="s">
        <v>305</v>
      </c>
      <c r="Y10" s="12" t="s">
        <v>306</v>
      </c>
      <c r="Z10" s="15" t="s">
        <v>307</v>
      </c>
      <c r="AA10" s="19" t="s">
        <v>309</v>
      </c>
      <c r="AB10" s="15" t="s">
        <v>308</v>
      </c>
      <c r="AC10" s="20">
        <v>5100</v>
      </c>
      <c r="AD10" s="20" t="s">
        <v>311</v>
      </c>
      <c r="AE10" s="20">
        <v>6750</v>
      </c>
      <c r="AF10" s="20">
        <v>7500</v>
      </c>
      <c r="AG10" s="20">
        <v>7750</v>
      </c>
      <c r="AH10" s="20">
        <f>SUM(AK10*250)</f>
        <v>0</v>
      </c>
      <c r="AI10" s="15">
        <f>SUM(98+AK10)</f>
        <v>98</v>
      </c>
      <c r="AJ10" s="20">
        <f>SUM(AC10+AE10+AF10+AH10+AG10)</f>
        <v>27100</v>
      </c>
    </row>
    <row r="11" spans="1:46" s="16" customFormat="1" ht="79.2" customHeight="1" x14ac:dyDescent="0.3">
      <c r="A11" s="15"/>
      <c r="B11" s="14" t="s">
        <v>293</v>
      </c>
      <c r="C11" s="14" t="s">
        <v>242</v>
      </c>
      <c r="D11" s="14" t="s">
        <v>297</v>
      </c>
      <c r="E11" s="15" t="s">
        <v>298</v>
      </c>
      <c r="F11" s="14" t="s">
        <v>221</v>
      </c>
      <c r="G11" s="15" t="s">
        <v>296</v>
      </c>
      <c r="H11" s="15" t="s">
        <v>313</v>
      </c>
      <c r="I11" s="15" t="s">
        <v>314</v>
      </c>
      <c r="J11" s="15"/>
      <c r="K11" s="14" t="s">
        <v>303</v>
      </c>
      <c r="L11" s="12" t="s">
        <v>317</v>
      </c>
      <c r="M11" s="15" t="s">
        <v>304</v>
      </c>
      <c r="N11" s="15"/>
      <c r="O11" s="15"/>
      <c r="P11" s="15"/>
      <c r="Q11" s="15"/>
      <c r="R11" s="12" t="s">
        <v>299</v>
      </c>
      <c r="S11" s="12" t="s">
        <v>299</v>
      </c>
      <c r="T11" s="12" t="s">
        <v>299</v>
      </c>
      <c r="U11" s="12" t="s">
        <v>299</v>
      </c>
      <c r="V11" s="12" t="s">
        <v>302</v>
      </c>
      <c r="W11" s="12" t="s">
        <v>305</v>
      </c>
      <c r="X11" s="12" t="s">
        <v>305</v>
      </c>
      <c r="Y11" s="12" t="s">
        <v>306</v>
      </c>
      <c r="Z11" s="15" t="s">
        <v>310</v>
      </c>
      <c r="AA11" s="19" t="s">
        <v>309</v>
      </c>
      <c r="AB11" s="15" t="s">
        <v>308</v>
      </c>
      <c r="AC11" s="20">
        <v>5100</v>
      </c>
      <c r="AD11" s="20" t="s">
        <v>312</v>
      </c>
      <c r="AE11" s="20">
        <v>6500</v>
      </c>
      <c r="AF11" s="20">
        <v>7500</v>
      </c>
      <c r="AG11" s="20">
        <v>7750</v>
      </c>
      <c r="AH11" s="20">
        <f>SUM(AK11*250)</f>
        <v>0</v>
      </c>
      <c r="AI11" s="15">
        <f>SUM(97+AK11)</f>
        <v>97</v>
      </c>
      <c r="AJ11" s="20">
        <f>SUM(AC11+AE11+AF11+AH11+AG11)</f>
        <v>26850</v>
      </c>
    </row>
    <row r="12" spans="1:46" ht="96.6" x14ac:dyDescent="0.3">
      <c r="A12" s="15" t="s">
        <v>331</v>
      </c>
      <c r="B12" s="14" t="s">
        <v>318</v>
      </c>
      <c r="C12" s="14" t="s">
        <v>319</v>
      </c>
      <c r="D12" s="14" t="s">
        <v>320</v>
      </c>
      <c r="E12" s="15" t="s">
        <v>321</v>
      </c>
      <c r="F12" s="14">
        <v>6327918</v>
      </c>
      <c r="G12" s="15" t="s">
        <v>322</v>
      </c>
      <c r="H12" s="15"/>
      <c r="I12" s="15"/>
      <c r="J12" s="15"/>
      <c r="K12" s="14" t="s">
        <v>326</v>
      </c>
      <c r="L12" s="12" t="s">
        <v>335</v>
      </c>
      <c r="M12" s="15" t="s">
        <v>334</v>
      </c>
      <c r="N12" s="15"/>
      <c r="O12" s="15"/>
      <c r="P12" s="15"/>
      <c r="Q12" s="15"/>
      <c r="R12" s="12" t="s">
        <v>323</v>
      </c>
      <c r="S12" s="12" t="s">
        <v>323</v>
      </c>
      <c r="T12" s="12" t="s">
        <v>324</v>
      </c>
      <c r="U12" s="12" t="s">
        <v>325</v>
      </c>
      <c r="V12" s="12" t="s">
        <v>323</v>
      </c>
      <c r="W12" s="12" t="s">
        <v>323</v>
      </c>
      <c r="X12" s="12" t="s">
        <v>325</v>
      </c>
      <c r="Y12" s="12" t="s">
        <v>325</v>
      </c>
      <c r="Z12" s="12" t="s">
        <v>325</v>
      </c>
      <c r="AA12" s="12" t="s">
        <v>325</v>
      </c>
      <c r="AB12" s="12" t="s">
        <v>332</v>
      </c>
      <c r="AC12" s="12" t="s">
        <v>333</v>
      </c>
      <c r="AD12" s="12" t="s">
        <v>192</v>
      </c>
      <c r="AE12" s="12" t="s">
        <v>335</v>
      </c>
      <c r="AF12" s="12" t="s">
        <v>336</v>
      </c>
    </row>
    <row r="13" spans="1:46" ht="151.80000000000001" x14ac:dyDescent="0.3">
      <c r="A13" s="15" t="s">
        <v>221</v>
      </c>
      <c r="B13" s="14" t="s">
        <v>318</v>
      </c>
      <c r="C13" s="14" t="s">
        <v>319</v>
      </c>
      <c r="D13" s="14" t="s">
        <v>328</v>
      </c>
      <c r="E13" s="15" t="s">
        <v>327</v>
      </c>
      <c r="F13" s="14">
        <v>6330549</v>
      </c>
      <c r="G13" s="15" t="s">
        <v>330</v>
      </c>
      <c r="H13" s="15"/>
      <c r="I13" s="15"/>
      <c r="J13" s="15"/>
      <c r="K13" s="14" t="s">
        <v>339</v>
      </c>
      <c r="L13" s="12" t="s">
        <v>344</v>
      </c>
      <c r="M13" s="15" t="s">
        <v>340</v>
      </c>
      <c r="N13" s="15" t="s">
        <v>342</v>
      </c>
      <c r="O13" s="15"/>
      <c r="P13" s="15" t="s">
        <v>343</v>
      </c>
      <c r="Q13" s="15" t="s">
        <v>343</v>
      </c>
      <c r="R13" s="12"/>
      <c r="S13" s="12"/>
      <c r="T13" s="12"/>
      <c r="U13" s="12"/>
      <c r="V13" s="12"/>
      <c r="W13" s="12"/>
      <c r="X13" s="12"/>
      <c r="Y13" s="12" t="s">
        <v>329</v>
      </c>
      <c r="Z13" s="12" t="s">
        <v>329</v>
      </c>
      <c r="AA13" s="12" t="s">
        <v>329</v>
      </c>
      <c r="AB13" s="12" t="s">
        <v>329</v>
      </c>
      <c r="AC13" s="12" t="s">
        <v>329</v>
      </c>
      <c r="AD13" s="12" t="s">
        <v>329</v>
      </c>
      <c r="AE13" s="12" t="s">
        <v>329</v>
      </c>
      <c r="AF13" s="12" t="s">
        <v>329</v>
      </c>
      <c r="AG13" s="12" t="s">
        <v>337</v>
      </c>
      <c r="AH13" s="12" t="s">
        <v>337</v>
      </c>
      <c r="AI13" s="12" t="s">
        <v>337</v>
      </c>
      <c r="AJ13" s="12" t="s">
        <v>337</v>
      </c>
      <c r="AK13" s="12" t="s">
        <v>337</v>
      </c>
      <c r="AL13" s="12" t="s">
        <v>337</v>
      </c>
      <c r="AM13" s="12" t="s">
        <v>338</v>
      </c>
      <c r="AN13" s="12" t="s">
        <v>338</v>
      </c>
      <c r="AO13" s="12" t="s">
        <v>338</v>
      </c>
      <c r="AP13" s="12" t="s">
        <v>337</v>
      </c>
      <c r="AQ13" s="12" t="s">
        <v>337</v>
      </c>
      <c r="AR13" s="12" t="s">
        <v>232</v>
      </c>
      <c r="AS13" s="12" t="s">
        <v>341</v>
      </c>
      <c r="AT13" s="12" t="s">
        <v>344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A00A-2154-4F77-9610-0B3B2ACEE332}">
  <dimension ref="A1:BU11"/>
  <sheetViews>
    <sheetView topLeftCell="C1" workbookViewId="0">
      <selection activeCell="BO7" sqref="BO7:BT7"/>
    </sheetView>
  </sheetViews>
  <sheetFormatPr defaultColWidth="9.109375" defaultRowHeight="14.4" x14ac:dyDescent="0.3"/>
  <cols>
    <col min="1" max="1" width="18.44140625" style="3" customWidth="1"/>
    <col min="2" max="2" width="25.44140625" style="3" customWidth="1"/>
    <col min="3" max="3" width="26.88671875" style="3" customWidth="1"/>
    <col min="4" max="4" width="11" style="3" customWidth="1"/>
    <col min="5" max="5" width="18.6640625" style="3" customWidth="1"/>
    <col min="6" max="6" width="13.5546875" style="3" customWidth="1"/>
    <col min="7" max="7" width="16.88671875" style="3" customWidth="1"/>
    <col min="8" max="8" width="0" style="3" hidden="1" customWidth="1"/>
    <col min="9" max="9" width="11.88671875" style="3" hidden="1" customWidth="1"/>
    <col min="10" max="10" width="14.5546875" style="3" hidden="1" customWidth="1"/>
    <col min="11" max="11" width="16" style="3" customWidth="1"/>
    <col min="12" max="12" width="24.6640625" style="13" customWidth="1"/>
    <col min="13" max="13" width="10.33203125" style="3" customWidth="1"/>
    <col min="14" max="14" width="9.109375" style="3" hidden="1" customWidth="1"/>
    <col min="15" max="15" width="13.6640625" style="3" hidden="1" customWidth="1"/>
    <col min="16" max="16" width="11.6640625" style="3" hidden="1" customWidth="1"/>
    <col min="17" max="17" width="11.44140625" style="3" hidden="1" customWidth="1"/>
    <col min="18" max="18" width="12.33203125" style="3" hidden="1" customWidth="1"/>
    <col min="19" max="19" width="9.109375" style="3" hidden="1" customWidth="1"/>
    <col min="20" max="20" width="17.44140625" style="3" hidden="1" customWidth="1"/>
    <col min="21" max="21" width="18.109375" style="3" hidden="1" customWidth="1"/>
    <col min="22" max="22" width="11.33203125" style="3" hidden="1" customWidth="1"/>
    <col min="23" max="23" width="13.6640625" style="3" hidden="1" customWidth="1"/>
    <col min="24" max="65" width="25.44140625" style="3" hidden="1" customWidth="1"/>
    <col min="66" max="66" width="25.44140625" style="3" customWidth="1"/>
    <col min="67" max="67" width="16.77734375" style="3" customWidth="1"/>
    <col min="68" max="68" width="14.6640625" style="3" customWidth="1"/>
    <col min="69" max="70" width="13.88671875" style="3" customWidth="1"/>
    <col min="71" max="71" width="16.33203125" style="3" customWidth="1"/>
    <col min="72" max="72" width="15.21875" style="3" customWidth="1"/>
    <col min="73" max="16384" width="9.109375" style="3"/>
  </cols>
  <sheetData>
    <row r="1" spans="1:73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73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73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73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8"/>
      <c r="V4" s="1"/>
      <c r="W4" s="1"/>
    </row>
    <row r="5" spans="1:73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73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73" s="11" customFormat="1" ht="86.4" x14ac:dyDescent="0.3">
      <c r="A7" s="9" t="s">
        <v>92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22</v>
      </c>
      <c r="P7" s="9" t="s">
        <v>13</v>
      </c>
      <c r="Q7" s="9" t="s">
        <v>14</v>
      </c>
      <c r="R7" s="9" t="s">
        <v>16</v>
      </c>
      <c r="S7" s="9" t="s">
        <v>17</v>
      </c>
      <c r="T7" s="9" t="s">
        <v>18</v>
      </c>
      <c r="U7" s="9" t="s">
        <v>19</v>
      </c>
      <c r="V7" s="9" t="s">
        <v>20</v>
      </c>
      <c r="W7" s="9" t="s">
        <v>21</v>
      </c>
      <c r="X7" s="9" t="s">
        <v>115</v>
      </c>
      <c r="Y7" s="9" t="s">
        <v>116</v>
      </c>
      <c r="Z7" s="9" t="s">
        <v>117</v>
      </c>
      <c r="AA7" s="9" t="s">
        <v>118</v>
      </c>
      <c r="AB7" s="9" t="s">
        <v>119</v>
      </c>
      <c r="AC7" s="9" t="s">
        <v>120</v>
      </c>
      <c r="AD7" s="9" t="s">
        <v>121</v>
      </c>
      <c r="AE7" s="9" t="s">
        <v>122</v>
      </c>
      <c r="AF7" s="9" t="s">
        <v>123</v>
      </c>
      <c r="AG7" s="9" t="s">
        <v>124</v>
      </c>
      <c r="AH7" s="9" t="s">
        <v>125</v>
      </c>
      <c r="AI7" s="9" t="s">
        <v>126</v>
      </c>
      <c r="AJ7" s="9" t="s">
        <v>127</v>
      </c>
      <c r="AK7" s="9" t="s">
        <v>128</v>
      </c>
      <c r="AL7" s="9" t="s">
        <v>129</v>
      </c>
      <c r="AM7" s="9" t="s">
        <v>130</v>
      </c>
      <c r="AN7" s="9" t="s">
        <v>131</v>
      </c>
      <c r="AO7" s="9" t="s">
        <v>132</v>
      </c>
      <c r="AP7" s="9" t="s">
        <v>133</v>
      </c>
      <c r="AQ7" s="9" t="s">
        <v>134</v>
      </c>
      <c r="AR7" s="9" t="s">
        <v>144</v>
      </c>
      <c r="AS7" s="9" t="s">
        <v>145</v>
      </c>
      <c r="AT7" s="9" t="s">
        <v>146</v>
      </c>
      <c r="AU7" s="9" t="s">
        <v>147</v>
      </c>
      <c r="AV7" s="9" t="s">
        <v>149</v>
      </c>
      <c r="AW7" s="9" t="s">
        <v>151</v>
      </c>
      <c r="AX7" s="9" t="s">
        <v>152</v>
      </c>
      <c r="AY7" s="9" t="s">
        <v>153</v>
      </c>
      <c r="AZ7" s="9" t="s">
        <v>155</v>
      </c>
      <c r="BA7" s="9" t="s">
        <v>157</v>
      </c>
      <c r="BB7" s="9" t="s">
        <v>158</v>
      </c>
      <c r="BC7" s="9" t="s">
        <v>159</v>
      </c>
      <c r="BD7" s="9" t="s">
        <v>162</v>
      </c>
      <c r="BE7" s="9" t="s">
        <v>164</v>
      </c>
      <c r="BF7" s="9" t="s">
        <v>165</v>
      </c>
      <c r="BG7" s="9" t="s">
        <v>169</v>
      </c>
      <c r="BH7" s="9" t="s">
        <v>172</v>
      </c>
      <c r="BI7" s="9" t="s">
        <v>173</v>
      </c>
      <c r="BJ7" s="9" t="s">
        <v>174</v>
      </c>
      <c r="BK7" s="9" t="s">
        <v>176</v>
      </c>
      <c r="BL7" s="9" t="s">
        <v>178</v>
      </c>
      <c r="BM7" s="9" t="s">
        <v>190</v>
      </c>
      <c r="BN7" s="9" t="s">
        <v>193</v>
      </c>
      <c r="BO7" s="17" t="s">
        <v>183</v>
      </c>
      <c r="BP7" s="17" t="s">
        <v>181</v>
      </c>
      <c r="BQ7" s="17" t="s">
        <v>182</v>
      </c>
      <c r="BR7" s="17" t="s">
        <v>188</v>
      </c>
      <c r="BS7" s="18" t="s">
        <v>189</v>
      </c>
      <c r="BT7" s="18" t="s">
        <v>184</v>
      </c>
    </row>
    <row r="8" spans="1:73" s="16" customFormat="1" ht="66.75" customHeight="1" x14ac:dyDescent="0.3">
      <c r="A8" s="23">
        <v>2451042619</v>
      </c>
      <c r="B8" s="22" t="s">
        <v>93</v>
      </c>
      <c r="C8" s="22" t="s">
        <v>94</v>
      </c>
      <c r="D8" s="22" t="s">
        <v>98</v>
      </c>
      <c r="E8" s="23" t="s">
        <v>99</v>
      </c>
      <c r="F8" s="22" t="s">
        <v>100</v>
      </c>
      <c r="G8" s="23" t="s">
        <v>114</v>
      </c>
      <c r="H8" s="23"/>
      <c r="I8" s="23"/>
      <c r="J8" s="23"/>
      <c r="K8" s="22" t="s">
        <v>170</v>
      </c>
      <c r="L8" s="22" t="s">
        <v>194</v>
      </c>
      <c r="M8" s="23" t="s">
        <v>175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2" t="s">
        <v>113</v>
      </c>
      <c r="Y8" s="22" t="s">
        <v>113</v>
      </c>
      <c r="Z8" s="22" t="s">
        <v>113</v>
      </c>
      <c r="AA8" s="22" t="s">
        <v>113</v>
      </c>
      <c r="AB8" s="22" t="s">
        <v>113</v>
      </c>
      <c r="AC8" s="22" t="s">
        <v>113</v>
      </c>
      <c r="AD8" s="22" t="s">
        <v>113</v>
      </c>
      <c r="AE8" s="22" t="s">
        <v>113</v>
      </c>
      <c r="AF8" s="22" t="s">
        <v>113</v>
      </c>
      <c r="AG8" s="22" t="s">
        <v>113</v>
      </c>
      <c r="AH8" s="22" t="s">
        <v>113</v>
      </c>
      <c r="AI8" s="22" t="s">
        <v>113</v>
      </c>
      <c r="AJ8" s="22" t="s">
        <v>113</v>
      </c>
      <c r="AK8" s="22" t="s">
        <v>113</v>
      </c>
      <c r="AL8" s="22" t="s">
        <v>113</v>
      </c>
      <c r="AM8" s="22" t="s">
        <v>113</v>
      </c>
      <c r="AN8" s="22" t="s">
        <v>113</v>
      </c>
      <c r="AO8" s="22" t="s">
        <v>113</v>
      </c>
      <c r="AP8" s="22" t="s">
        <v>113</v>
      </c>
      <c r="AQ8" s="22" t="s">
        <v>113</v>
      </c>
      <c r="AR8" s="22" t="s">
        <v>113</v>
      </c>
      <c r="AS8" s="22" t="s">
        <v>113</v>
      </c>
      <c r="AT8" s="22" t="s">
        <v>113</v>
      </c>
      <c r="AU8" s="22" t="s">
        <v>148</v>
      </c>
      <c r="AV8" s="22" t="s">
        <v>148</v>
      </c>
      <c r="AW8" s="22" t="s">
        <v>148</v>
      </c>
      <c r="AX8" s="22" t="s">
        <v>148</v>
      </c>
      <c r="AY8" s="22" t="s">
        <v>154</v>
      </c>
      <c r="AZ8" s="22" t="s">
        <v>156</v>
      </c>
      <c r="BA8" s="22" t="s">
        <v>156</v>
      </c>
      <c r="BB8" s="22" t="s">
        <v>156</v>
      </c>
      <c r="BC8" s="22" t="s">
        <v>156</v>
      </c>
      <c r="BD8" s="22" t="s">
        <v>163</v>
      </c>
      <c r="BE8" s="22" t="s">
        <v>163</v>
      </c>
      <c r="BF8" s="22" t="s">
        <v>166</v>
      </c>
      <c r="BG8" s="22" t="s">
        <v>171</v>
      </c>
      <c r="BH8" s="22" t="s">
        <v>171</v>
      </c>
      <c r="BI8" s="22" t="s">
        <v>171</v>
      </c>
      <c r="BJ8" s="22" t="s">
        <v>171</v>
      </c>
      <c r="BK8" s="22" t="s">
        <v>177</v>
      </c>
      <c r="BL8" s="22" t="s">
        <v>179</v>
      </c>
      <c r="BM8" s="22" t="s">
        <v>179</v>
      </c>
      <c r="BN8" s="22" t="s">
        <v>194</v>
      </c>
      <c r="BO8" s="23" t="s">
        <v>185</v>
      </c>
      <c r="BP8" s="23" t="s">
        <v>186</v>
      </c>
      <c r="BQ8" s="23" t="s">
        <v>187</v>
      </c>
      <c r="BR8" s="24">
        <v>5100</v>
      </c>
      <c r="BS8" s="23">
        <f t="shared" ref="BS8" si="0">SUM(BU8-10)*200</f>
        <v>1600</v>
      </c>
      <c r="BT8" s="23">
        <f t="shared" ref="BT8" si="1">SUM(BU8)</f>
        <v>18</v>
      </c>
      <c r="BU8" s="21">
        <v>18</v>
      </c>
    </row>
    <row r="9" spans="1:73" ht="69" x14ac:dyDescent="0.3">
      <c r="A9" s="15">
        <v>2451042592</v>
      </c>
      <c r="B9" s="14" t="s">
        <v>93</v>
      </c>
      <c r="C9" s="14" t="s">
        <v>94</v>
      </c>
      <c r="D9" s="14" t="s">
        <v>96</v>
      </c>
      <c r="E9" s="15" t="s">
        <v>95</v>
      </c>
      <c r="F9" s="14" t="s">
        <v>97</v>
      </c>
      <c r="G9" s="15" t="s">
        <v>114</v>
      </c>
      <c r="H9" s="15"/>
      <c r="I9" s="14"/>
      <c r="J9" s="15"/>
      <c r="K9" s="14" t="s">
        <v>170</v>
      </c>
      <c r="L9" s="12" t="s">
        <v>195</v>
      </c>
      <c r="M9" s="15" t="s">
        <v>175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2" t="s">
        <v>113</v>
      </c>
      <c r="Y9" s="12" t="s">
        <v>113</v>
      </c>
      <c r="Z9" s="12" t="s">
        <v>113</v>
      </c>
      <c r="AA9" s="12" t="s">
        <v>113</v>
      </c>
      <c r="AB9" s="12" t="s">
        <v>113</v>
      </c>
      <c r="AC9" s="12" t="s">
        <v>113</v>
      </c>
      <c r="AD9" s="12" t="s">
        <v>113</v>
      </c>
      <c r="AE9" s="12" t="s">
        <v>113</v>
      </c>
      <c r="AF9" s="12" t="s">
        <v>113</v>
      </c>
      <c r="AG9" s="12" t="s">
        <v>113</v>
      </c>
      <c r="AH9" s="12" t="s">
        <v>113</v>
      </c>
      <c r="AI9" s="12" t="s">
        <v>113</v>
      </c>
      <c r="AJ9" s="12" t="s">
        <v>113</v>
      </c>
      <c r="AK9" s="12" t="s">
        <v>113</v>
      </c>
      <c r="AL9" s="12" t="s">
        <v>113</v>
      </c>
      <c r="AM9" s="12" t="s">
        <v>113</v>
      </c>
      <c r="AN9" s="12" t="s">
        <v>113</v>
      </c>
      <c r="AO9" s="12" t="s">
        <v>113</v>
      </c>
      <c r="AP9" s="12" t="s">
        <v>113</v>
      </c>
      <c r="AQ9" s="12" t="s">
        <v>113</v>
      </c>
      <c r="AR9" s="12" t="s">
        <v>113</v>
      </c>
      <c r="AS9" s="12" t="s">
        <v>113</v>
      </c>
      <c r="AT9" s="12" t="s">
        <v>113</v>
      </c>
      <c r="AU9" s="12" t="s">
        <v>148</v>
      </c>
      <c r="AV9" s="12" t="s">
        <v>148</v>
      </c>
      <c r="AW9" s="12" t="s">
        <v>148</v>
      </c>
      <c r="AX9" s="12" t="s">
        <v>148</v>
      </c>
      <c r="AY9" s="12" t="s">
        <v>154</v>
      </c>
      <c r="AZ9" s="12" t="s">
        <v>156</v>
      </c>
      <c r="BA9" s="12" t="s">
        <v>156</v>
      </c>
      <c r="BB9" s="12" t="s">
        <v>156</v>
      </c>
      <c r="BC9" s="12" t="s">
        <v>156</v>
      </c>
      <c r="BD9" s="12" t="s">
        <v>163</v>
      </c>
      <c r="BE9" s="12" t="s">
        <v>163</v>
      </c>
      <c r="BF9" s="12" t="s">
        <v>166</v>
      </c>
      <c r="BG9" s="12" t="s">
        <v>171</v>
      </c>
      <c r="BH9" s="12" t="s">
        <v>171</v>
      </c>
      <c r="BI9" s="12" t="s">
        <v>171</v>
      </c>
      <c r="BJ9" s="12" t="s">
        <v>171</v>
      </c>
      <c r="BK9" s="12" t="s">
        <v>177</v>
      </c>
      <c r="BL9" s="12" t="s">
        <v>179</v>
      </c>
      <c r="BM9" s="12" t="s">
        <v>179</v>
      </c>
      <c r="BN9" s="12" t="s">
        <v>179</v>
      </c>
      <c r="BO9" s="15" t="s">
        <v>185</v>
      </c>
      <c r="BP9" s="19" t="s">
        <v>186</v>
      </c>
      <c r="BQ9" s="15" t="s">
        <v>187</v>
      </c>
      <c r="BR9" s="20">
        <v>5100</v>
      </c>
      <c r="BS9" s="20">
        <v>3600</v>
      </c>
      <c r="BT9" s="20">
        <f>SUM(BV9)*200</f>
        <v>0</v>
      </c>
      <c r="BU9" s="15">
        <f>SUM(BV9+28)</f>
        <v>28</v>
      </c>
    </row>
    <row r="10" spans="1:73" ht="69" x14ac:dyDescent="0.3">
      <c r="A10" s="15">
        <v>2451042708</v>
      </c>
      <c r="B10" s="14" t="s">
        <v>93</v>
      </c>
      <c r="C10" s="14" t="s">
        <v>94</v>
      </c>
      <c r="D10" s="14" t="s">
        <v>101</v>
      </c>
      <c r="E10" s="15" t="s">
        <v>102</v>
      </c>
      <c r="F10" s="14" t="s">
        <v>103</v>
      </c>
      <c r="G10" s="15" t="s">
        <v>114</v>
      </c>
      <c r="H10" s="15"/>
      <c r="I10" s="15"/>
      <c r="J10" s="15"/>
      <c r="K10" s="14" t="s">
        <v>170</v>
      </c>
      <c r="L10" s="12" t="s">
        <v>196</v>
      </c>
      <c r="M10" s="15" t="s">
        <v>175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2" t="s">
        <v>113</v>
      </c>
      <c r="Y10" s="12" t="s">
        <v>113</v>
      </c>
      <c r="Z10" s="12" t="s">
        <v>113</v>
      </c>
      <c r="AA10" s="12" t="s">
        <v>113</v>
      </c>
      <c r="AB10" s="12" t="s">
        <v>113</v>
      </c>
      <c r="AC10" s="12" t="s">
        <v>113</v>
      </c>
      <c r="AD10" s="12" t="s">
        <v>113</v>
      </c>
      <c r="AE10" s="12" t="s">
        <v>113</v>
      </c>
      <c r="AF10" s="12" t="s">
        <v>113</v>
      </c>
      <c r="AG10" s="12" t="s">
        <v>113</v>
      </c>
      <c r="AH10" s="12" t="s">
        <v>113</v>
      </c>
      <c r="AI10" s="12" t="s">
        <v>113</v>
      </c>
      <c r="AJ10" s="12" t="s">
        <v>113</v>
      </c>
      <c r="AK10" s="12" t="s">
        <v>113</v>
      </c>
      <c r="AL10" s="12" t="s">
        <v>113</v>
      </c>
      <c r="AM10" s="12" t="s">
        <v>113</v>
      </c>
      <c r="AN10" s="12" t="s">
        <v>113</v>
      </c>
      <c r="AO10" s="12" t="s">
        <v>113</v>
      </c>
      <c r="AP10" s="12" t="s">
        <v>113</v>
      </c>
      <c r="AQ10" s="12" t="s">
        <v>113</v>
      </c>
      <c r="AR10" s="12" t="s">
        <v>113</v>
      </c>
      <c r="AS10" s="12" t="s">
        <v>113</v>
      </c>
      <c r="AT10" s="12" t="s">
        <v>113</v>
      </c>
      <c r="AU10" s="12" t="s">
        <v>148</v>
      </c>
      <c r="AV10" s="12" t="s">
        <v>148</v>
      </c>
      <c r="AW10" s="12" t="s">
        <v>148</v>
      </c>
      <c r="AX10" s="12" t="s">
        <v>148</v>
      </c>
      <c r="AY10" s="12" t="s">
        <v>154</v>
      </c>
      <c r="AZ10" s="12" t="s">
        <v>156</v>
      </c>
      <c r="BA10" s="12" t="s">
        <v>156</v>
      </c>
      <c r="BB10" s="12" t="s">
        <v>156</v>
      </c>
      <c r="BC10" s="12" t="s">
        <v>156</v>
      </c>
      <c r="BD10" s="12" t="s">
        <v>163</v>
      </c>
      <c r="BE10" s="12" t="s">
        <v>163</v>
      </c>
      <c r="BF10" s="12" t="s">
        <v>166</v>
      </c>
      <c r="BG10" s="12" t="s">
        <v>171</v>
      </c>
      <c r="BH10" s="12" t="s">
        <v>171</v>
      </c>
      <c r="BI10" s="12" t="s">
        <v>171</v>
      </c>
      <c r="BJ10" s="12" t="s">
        <v>171</v>
      </c>
      <c r="BK10" s="12" t="s">
        <v>177</v>
      </c>
      <c r="BL10" s="12" t="s">
        <v>179</v>
      </c>
      <c r="BM10" s="12" t="s">
        <v>179</v>
      </c>
      <c r="BN10" s="12" t="s">
        <v>179</v>
      </c>
      <c r="BO10" s="15" t="s">
        <v>185</v>
      </c>
      <c r="BP10" s="19" t="s">
        <v>186</v>
      </c>
      <c r="BQ10" s="15" t="s">
        <v>187</v>
      </c>
      <c r="BR10" s="20">
        <v>5100</v>
      </c>
      <c r="BS10" s="20">
        <v>3600</v>
      </c>
      <c r="BT10" s="20">
        <f t="shared" ref="BT10:BT11" si="2">SUM(BV10)*200</f>
        <v>0</v>
      </c>
      <c r="BU10" s="15">
        <f>SUM(BV10+28)</f>
        <v>28</v>
      </c>
    </row>
    <row r="11" spans="1:73" ht="69" x14ac:dyDescent="0.3">
      <c r="A11" s="15">
        <v>2451042709</v>
      </c>
      <c r="B11" s="14" t="s">
        <v>93</v>
      </c>
      <c r="C11" s="14" t="s">
        <v>94</v>
      </c>
      <c r="D11" s="14" t="s">
        <v>104</v>
      </c>
      <c r="E11" s="15" t="s">
        <v>105</v>
      </c>
      <c r="F11" s="14" t="s">
        <v>106</v>
      </c>
      <c r="G11" s="15" t="s">
        <v>114</v>
      </c>
      <c r="H11" s="15"/>
      <c r="I11" s="14"/>
      <c r="J11" s="15"/>
      <c r="K11" s="14" t="s">
        <v>170</v>
      </c>
      <c r="L11" s="12" t="s">
        <v>197</v>
      </c>
      <c r="M11" s="15" t="s">
        <v>175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2" t="s">
        <v>113</v>
      </c>
      <c r="Y11" s="12" t="s">
        <v>113</v>
      </c>
      <c r="Z11" s="12" t="s">
        <v>113</v>
      </c>
      <c r="AA11" s="12" t="s">
        <v>113</v>
      </c>
      <c r="AB11" s="12" t="s">
        <v>113</v>
      </c>
      <c r="AC11" s="12" t="s">
        <v>113</v>
      </c>
      <c r="AD11" s="12" t="s">
        <v>113</v>
      </c>
      <c r="AE11" s="12" t="s">
        <v>113</v>
      </c>
      <c r="AF11" s="12" t="s">
        <v>113</v>
      </c>
      <c r="AG11" s="12" t="s">
        <v>113</v>
      </c>
      <c r="AH11" s="12" t="s">
        <v>113</v>
      </c>
      <c r="AI11" s="12" t="s">
        <v>113</v>
      </c>
      <c r="AJ11" s="12" t="s">
        <v>113</v>
      </c>
      <c r="AK11" s="12" t="s">
        <v>113</v>
      </c>
      <c r="AL11" s="12" t="s">
        <v>113</v>
      </c>
      <c r="AM11" s="12" t="s">
        <v>113</v>
      </c>
      <c r="AN11" s="12" t="s">
        <v>113</v>
      </c>
      <c r="AO11" s="12" t="s">
        <v>113</v>
      </c>
      <c r="AP11" s="12" t="s">
        <v>113</v>
      </c>
      <c r="AQ11" s="12" t="s">
        <v>113</v>
      </c>
      <c r="AR11" s="12" t="s">
        <v>113</v>
      </c>
      <c r="AS11" s="12" t="s">
        <v>113</v>
      </c>
      <c r="AT11" s="12" t="s">
        <v>113</v>
      </c>
      <c r="AU11" s="12" t="s">
        <v>148</v>
      </c>
      <c r="AV11" s="12" t="s">
        <v>148</v>
      </c>
      <c r="AW11" s="12" t="s">
        <v>148</v>
      </c>
      <c r="AX11" s="12" t="s">
        <v>148</v>
      </c>
      <c r="AY11" s="12" t="s">
        <v>154</v>
      </c>
      <c r="AZ11" s="12" t="s">
        <v>156</v>
      </c>
      <c r="BA11" s="12" t="s">
        <v>156</v>
      </c>
      <c r="BB11" s="12" t="s">
        <v>156</v>
      </c>
      <c r="BC11" s="12" t="s">
        <v>156</v>
      </c>
      <c r="BD11" s="12" t="s">
        <v>163</v>
      </c>
      <c r="BE11" s="12" t="s">
        <v>163</v>
      </c>
      <c r="BF11" s="12" t="s">
        <v>166</v>
      </c>
      <c r="BG11" s="12" t="s">
        <v>171</v>
      </c>
      <c r="BH11" s="12" t="s">
        <v>171</v>
      </c>
      <c r="BI11" s="12" t="s">
        <v>171</v>
      </c>
      <c r="BJ11" s="12" t="s">
        <v>171</v>
      </c>
      <c r="BK11" s="12" t="s">
        <v>177</v>
      </c>
      <c r="BL11" s="12" t="s">
        <v>179</v>
      </c>
      <c r="BM11" s="12" t="s">
        <v>179</v>
      </c>
      <c r="BN11" s="12" t="s">
        <v>179</v>
      </c>
      <c r="BO11" s="15" t="s">
        <v>185</v>
      </c>
      <c r="BP11" s="19" t="s">
        <v>186</v>
      </c>
      <c r="BQ11" s="15" t="s">
        <v>187</v>
      </c>
      <c r="BR11" s="20">
        <v>5100</v>
      </c>
      <c r="BS11" s="20">
        <v>3600</v>
      </c>
      <c r="BT11" s="20">
        <f t="shared" si="2"/>
        <v>0</v>
      </c>
      <c r="BU11" s="15">
        <f>SUM(BV11+28)</f>
        <v>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BE32-9036-4F26-B7D6-CEA620FC9FFF}">
  <dimension ref="A1:BW21"/>
  <sheetViews>
    <sheetView topLeftCell="B1" workbookViewId="0">
      <selection activeCell="B20" sqref="B20:AH21"/>
    </sheetView>
  </sheetViews>
  <sheetFormatPr defaultColWidth="9.109375" defaultRowHeight="14.4" x14ac:dyDescent="0.3"/>
  <cols>
    <col min="1" max="1" width="18.44140625" style="3" hidden="1" customWidth="1"/>
    <col min="2" max="2" width="25.44140625" style="3" customWidth="1"/>
    <col min="3" max="3" width="26.88671875" style="3" customWidth="1"/>
    <col min="4" max="4" width="11" style="3" customWidth="1"/>
    <col min="5" max="5" width="18.6640625" style="3" customWidth="1"/>
    <col min="6" max="6" width="13.5546875" style="3" customWidth="1"/>
    <col min="7" max="7" width="16.88671875" style="3" customWidth="1"/>
    <col min="8" max="8" width="9.109375" style="3"/>
    <col min="9" max="9" width="11.88671875" style="3" customWidth="1"/>
    <col min="10" max="10" width="14.5546875" style="3" customWidth="1"/>
    <col min="11" max="11" width="15" style="3" customWidth="1"/>
    <col min="12" max="12" width="26.109375" style="13" customWidth="1"/>
    <col min="13" max="13" width="10.33203125" style="3" customWidth="1"/>
    <col min="14" max="14" width="9.109375" style="3"/>
    <col min="15" max="15" width="13.6640625" style="3" customWidth="1"/>
    <col min="16" max="16" width="11.6640625" style="3" customWidth="1"/>
    <col min="17" max="17" width="11.44140625" style="3" customWidth="1"/>
    <col min="18" max="18" width="12.33203125" style="3" customWidth="1"/>
    <col min="19" max="19" width="9.109375" style="3"/>
    <col min="20" max="20" width="17.44140625" style="3" customWidth="1"/>
    <col min="21" max="21" width="18.109375" style="3" customWidth="1"/>
    <col min="22" max="22" width="11.33203125" style="3" customWidth="1"/>
    <col min="23" max="23" width="13.6640625" style="3" customWidth="1"/>
    <col min="24" max="24" width="25.44140625" style="3" customWidth="1"/>
    <col min="25" max="25" width="22" style="3" customWidth="1"/>
    <col min="26" max="27" width="25.33203125" style="3" customWidth="1"/>
    <col min="28" max="28" width="22.5546875" style="3" customWidth="1"/>
    <col min="29" max="36" width="25" style="3" customWidth="1"/>
    <col min="37" max="16384" width="9.109375" style="3"/>
  </cols>
  <sheetData>
    <row r="1" spans="1:75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75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75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75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8"/>
      <c r="V4" s="1"/>
      <c r="W4" s="1"/>
    </row>
    <row r="5" spans="1:75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75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75" s="11" customFormat="1" ht="27.6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22</v>
      </c>
      <c r="P7" s="9" t="s">
        <v>13</v>
      </c>
      <c r="Q7" s="9" t="s">
        <v>14</v>
      </c>
      <c r="R7" s="9" t="s">
        <v>16</v>
      </c>
      <c r="S7" s="9" t="s">
        <v>17</v>
      </c>
      <c r="T7" s="9" t="s">
        <v>18</v>
      </c>
      <c r="U7" s="9" t="s">
        <v>19</v>
      </c>
      <c r="V7" s="9" t="s">
        <v>20</v>
      </c>
      <c r="W7" s="9" t="s">
        <v>21</v>
      </c>
      <c r="X7" s="9" t="s">
        <v>28</v>
      </c>
      <c r="Y7" s="9" t="s">
        <v>57</v>
      </c>
      <c r="Z7" s="9" t="s">
        <v>59</v>
      </c>
      <c r="AA7" s="9" t="s">
        <v>61</v>
      </c>
      <c r="AB7" s="9" t="s">
        <v>64</v>
      </c>
      <c r="AC7" s="9" t="s">
        <v>66</v>
      </c>
      <c r="AD7" s="9" t="s">
        <v>67</v>
      </c>
      <c r="AE7" s="9" t="s">
        <v>70</v>
      </c>
      <c r="AF7" s="9" t="s">
        <v>77</v>
      </c>
      <c r="AG7" s="9" t="s">
        <v>78</v>
      </c>
      <c r="AH7" s="9" t="s">
        <v>78</v>
      </c>
      <c r="AI7" s="9" t="s">
        <v>82</v>
      </c>
      <c r="AJ7" s="9" t="s">
        <v>91</v>
      </c>
    </row>
    <row r="8" spans="1:75" s="16" customFormat="1" ht="66.75" customHeight="1" x14ac:dyDescent="0.3">
      <c r="A8" s="15"/>
      <c r="B8" s="14" t="s">
        <v>23</v>
      </c>
      <c r="C8" s="14" t="s">
        <v>24</v>
      </c>
      <c r="D8" s="14">
        <v>58003</v>
      </c>
      <c r="E8" s="15" t="s">
        <v>25</v>
      </c>
      <c r="F8" s="14">
        <v>2023140192</v>
      </c>
      <c r="G8" s="15" t="s">
        <v>26</v>
      </c>
      <c r="H8" s="15" t="s">
        <v>44</v>
      </c>
      <c r="I8" s="14" t="s">
        <v>45</v>
      </c>
      <c r="J8" s="15" t="s">
        <v>46</v>
      </c>
      <c r="K8" s="14" t="s">
        <v>27</v>
      </c>
      <c r="L8" s="12" t="s">
        <v>89</v>
      </c>
      <c r="M8" s="15" t="s">
        <v>31</v>
      </c>
      <c r="N8" s="15" t="s">
        <v>63</v>
      </c>
      <c r="O8" s="15" t="s">
        <v>80</v>
      </c>
      <c r="P8" s="15" t="s">
        <v>85</v>
      </c>
      <c r="Q8" s="15" t="s">
        <v>88</v>
      </c>
      <c r="R8" s="15" t="s">
        <v>88</v>
      </c>
      <c r="S8" s="15" t="s">
        <v>88</v>
      </c>
      <c r="T8" s="15" t="s">
        <v>88</v>
      </c>
      <c r="U8" s="15" t="s">
        <v>90</v>
      </c>
      <c r="V8" s="15" t="s">
        <v>90</v>
      </c>
      <c r="W8" s="15" t="s">
        <v>90</v>
      </c>
      <c r="X8" s="12" t="s">
        <v>53</v>
      </c>
      <c r="Y8" s="12" t="s">
        <v>54</v>
      </c>
      <c r="Z8" s="12" t="s">
        <v>58</v>
      </c>
      <c r="AA8" s="12" t="s">
        <v>60</v>
      </c>
      <c r="AB8" s="12" t="s">
        <v>62</v>
      </c>
      <c r="AC8" s="12" t="s">
        <v>65</v>
      </c>
      <c r="AD8" s="12" t="s">
        <v>68</v>
      </c>
      <c r="AE8" s="12" t="s">
        <v>72</v>
      </c>
      <c r="AF8" s="12" t="s">
        <v>73</v>
      </c>
      <c r="AG8" s="12" t="s">
        <v>79</v>
      </c>
      <c r="AH8" s="12" t="s">
        <v>79</v>
      </c>
      <c r="AI8" s="12" t="s">
        <v>86</v>
      </c>
      <c r="AJ8" s="12" t="s">
        <v>89</v>
      </c>
    </row>
    <row r="9" spans="1:75" s="16" customFormat="1" ht="66.75" customHeight="1" x14ac:dyDescent="0.3">
      <c r="A9" s="15"/>
      <c r="B9" s="14" t="s">
        <v>23</v>
      </c>
      <c r="C9" s="14" t="s">
        <v>24</v>
      </c>
      <c r="D9" s="14">
        <v>58003</v>
      </c>
      <c r="E9" s="15" t="s">
        <v>25</v>
      </c>
      <c r="F9" s="14">
        <v>2023140192</v>
      </c>
      <c r="G9" s="15" t="s">
        <v>26</v>
      </c>
      <c r="H9" s="15" t="s">
        <v>49</v>
      </c>
      <c r="I9" s="15" t="s">
        <v>50</v>
      </c>
      <c r="J9" s="15" t="s">
        <v>48</v>
      </c>
      <c r="K9" s="14" t="s">
        <v>27</v>
      </c>
      <c r="L9" s="12" t="s">
        <v>89</v>
      </c>
      <c r="M9" s="15" t="s">
        <v>31</v>
      </c>
      <c r="N9" s="15" t="s">
        <v>42</v>
      </c>
      <c r="O9" s="15" t="s">
        <v>43</v>
      </c>
      <c r="P9" s="15" t="s">
        <v>43</v>
      </c>
      <c r="Q9" s="15" t="s">
        <v>85</v>
      </c>
      <c r="R9" s="15" t="s">
        <v>85</v>
      </c>
      <c r="S9" s="15" t="s">
        <v>85</v>
      </c>
      <c r="T9" s="15" t="s">
        <v>88</v>
      </c>
      <c r="U9" s="15" t="s">
        <v>90</v>
      </c>
      <c r="V9" s="15" t="s">
        <v>90</v>
      </c>
      <c r="W9" s="15" t="s">
        <v>90</v>
      </c>
      <c r="X9" s="12" t="s">
        <v>41</v>
      </c>
      <c r="Y9" s="12" t="s">
        <v>55</v>
      </c>
      <c r="Z9" s="12" t="s">
        <v>55</v>
      </c>
      <c r="AA9" s="12" t="s">
        <v>55</v>
      </c>
      <c r="AB9" s="12" t="s">
        <v>55</v>
      </c>
      <c r="AC9" s="12" t="s">
        <v>55</v>
      </c>
      <c r="AD9" s="12" t="s">
        <v>55</v>
      </c>
      <c r="AE9" s="12" t="s">
        <v>55</v>
      </c>
      <c r="AF9" s="12" t="s">
        <v>55</v>
      </c>
      <c r="AG9" s="12" t="s">
        <v>55</v>
      </c>
      <c r="AH9" s="12" t="s">
        <v>55</v>
      </c>
      <c r="AI9" s="12" t="s">
        <v>87</v>
      </c>
      <c r="AJ9" s="12" t="s">
        <v>89</v>
      </c>
    </row>
    <row r="10" spans="1:75" s="16" customFormat="1" ht="66.75" customHeight="1" x14ac:dyDescent="0.3">
      <c r="A10" s="15"/>
      <c r="B10" s="14" t="s">
        <v>23</v>
      </c>
      <c r="C10" s="14" t="s">
        <v>24</v>
      </c>
      <c r="D10" s="14">
        <v>58003</v>
      </c>
      <c r="E10" s="15" t="s">
        <v>25</v>
      </c>
      <c r="F10" s="14">
        <v>2023140192</v>
      </c>
      <c r="G10" s="15" t="s">
        <v>26</v>
      </c>
      <c r="H10" s="15" t="s">
        <v>51</v>
      </c>
      <c r="I10" s="15" t="s">
        <v>52</v>
      </c>
      <c r="J10" s="15" t="s">
        <v>47</v>
      </c>
      <c r="K10" s="14" t="s">
        <v>27</v>
      </c>
      <c r="L10" s="12" t="s">
        <v>89</v>
      </c>
      <c r="M10" s="15" t="s">
        <v>31</v>
      </c>
      <c r="N10" s="15" t="s">
        <v>42</v>
      </c>
      <c r="O10" s="15" t="s">
        <v>43</v>
      </c>
      <c r="P10" s="15" t="s">
        <v>43</v>
      </c>
      <c r="Q10" s="15" t="s">
        <v>85</v>
      </c>
      <c r="R10" s="15" t="s">
        <v>85</v>
      </c>
      <c r="S10" s="15" t="s">
        <v>85</v>
      </c>
      <c r="T10" s="15" t="s">
        <v>88</v>
      </c>
      <c r="U10" s="15" t="s">
        <v>90</v>
      </c>
      <c r="V10" s="15" t="s">
        <v>90</v>
      </c>
      <c r="W10" s="15" t="s">
        <v>90</v>
      </c>
      <c r="X10" s="12" t="s">
        <v>41</v>
      </c>
      <c r="Y10" s="12" t="s">
        <v>55</v>
      </c>
      <c r="Z10" s="12" t="s">
        <v>55</v>
      </c>
      <c r="AA10" s="12" t="s">
        <v>55</v>
      </c>
      <c r="AB10" s="12" t="s">
        <v>55</v>
      </c>
      <c r="AC10" s="12" t="s">
        <v>55</v>
      </c>
      <c r="AD10" s="12" t="s">
        <v>55</v>
      </c>
      <c r="AE10" s="12" t="s">
        <v>55</v>
      </c>
      <c r="AF10" s="12" t="s">
        <v>55</v>
      </c>
      <c r="AG10" s="12" t="s">
        <v>55</v>
      </c>
      <c r="AH10" s="12" t="s">
        <v>55</v>
      </c>
      <c r="AI10" s="12" t="s">
        <v>87</v>
      </c>
      <c r="AJ10" s="12" t="s">
        <v>89</v>
      </c>
    </row>
    <row r="11" spans="1:75" s="16" customFormat="1" ht="66.75" customHeight="1" x14ac:dyDescent="0.3">
      <c r="A11" s="15"/>
      <c r="B11" s="14" t="s">
        <v>23</v>
      </c>
      <c r="C11" s="14" t="s">
        <v>24</v>
      </c>
      <c r="D11" s="14">
        <v>57814</v>
      </c>
      <c r="E11" s="15" t="s">
        <v>29</v>
      </c>
      <c r="F11" s="14">
        <v>2023140165</v>
      </c>
      <c r="G11" s="15" t="s">
        <v>30</v>
      </c>
      <c r="H11" s="15" t="s">
        <v>32</v>
      </c>
      <c r="I11" s="14" t="s">
        <v>33</v>
      </c>
      <c r="J11" s="15" t="s">
        <v>34</v>
      </c>
      <c r="K11" s="14" t="s">
        <v>27</v>
      </c>
      <c r="L11" s="12" t="s">
        <v>83</v>
      </c>
      <c r="M11" s="15" t="s">
        <v>31</v>
      </c>
      <c r="N11" s="15" t="s">
        <v>63</v>
      </c>
      <c r="O11" s="15" t="s">
        <v>76</v>
      </c>
      <c r="P11" s="15" t="s">
        <v>76</v>
      </c>
      <c r="Q11" s="15" t="s">
        <v>80</v>
      </c>
      <c r="R11" s="15" t="s">
        <v>80</v>
      </c>
      <c r="S11" s="15" t="s">
        <v>85</v>
      </c>
      <c r="T11" s="15" t="s">
        <v>85</v>
      </c>
      <c r="U11" s="15" t="s">
        <v>85</v>
      </c>
      <c r="V11" s="15" t="s">
        <v>85</v>
      </c>
      <c r="W11" s="15" t="s">
        <v>85</v>
      </c>
      <c r="X11" s="12" t="s">
        <v>53</v>
      </c>
      <c r="Y11" s="12" t="s">
        <v>56</v>
      </c>
      <c r="Z11" s="12" t="s">
        <v>58</v>
      </c>
      <c r="AA11" s="12" t="s">
        <v>60</v>
      </c>
      <c r="AB11" s="12" t="s">
        <v>62</v>
      </c>
      <c r="AC11" s="12" t="s">
        <v>65</v>
      </c>
      <c r="AD11" s="12" t="s">
        <v>69</v>
      </c>
      <c r="AE11" s="12" t="s">
        <v>71</v>
      </c>
      <c r="AF11" s="12" t="s">
        <v>74</v>
      </c>
      <c r="AG11" s="12" t="s">
        <v>81</v>
      </c>
      <c r="AH11" s="12" t="s">
        <v>81</v>
      </c>
      <c r="AI11" s="12" t="s">
        <v>83</v>
      </c>
      <c r="AJ11" s="12" t="s">
        <v>83</v>
      </c>
    </row>
    <row r="12" spans="1:75" s="16" customFormat="1" ht="66.75" customHeight="1" x14ac:dyDescent="0.3">
      <c r="A12" s="15"/>
      <c r="B12" s="14" t="s">
        <v>23</v>
      </c>
      <c r="C12" s="14" t="s">
        <v>24</v>
      </c>
      <c r="D12" s="14">
        <v>57814</v>
      </c>
      <c r="E12" s="15" t="s">
        <v>29</v>
      </c>
      <c r="F12" s="14">
        <v>2023140165</v>
      </c>
      <c r="G12" s="15" t="s">
        <v>30</v>
      </c>
      <c r="H12" s="15" t="s">
        <v>35</v>
      </c>
      <c r="I12" s="15" t="s">
        <v>36</v>
      </c>
      <c r="J12" s="15" t="s">
        <v>37</v>
      </c>
      <c r="K12" s="14" t="s">
        <v>27</v>
      </c>
      <c r="L12" s="12" t="s">
        <v>89</v>
      </c>
      <c r="M12" s="15" t="s">
        <v>31</v>
      </c>
      <c r="N12" s="15" t="s">
        <v>42</v>
      </c>
      <c r="O12" s="15" t="s">
        <v>43</v>
      </c>
      <c r="P12" s="15" t="s">
        <v>43</v>
      </c>
      <c r="Q12" s="15" t="s">
        <v>80</v>
      </c>
      <c r="R12" s="15" t="s">
        <v>80</v>
      </c>
      <c r="S12" s="15" t="s">
        <v>85</v>
      </c>
      <c r="T12" s="15" t="s">
        <v>85</v>
      </c>
      <c r="U12" s="15" t="s">
        <v>88</v>
      </c>
      <c r="V12" s="15" t="s">
        <v>90</v>
      </c>
      <c r="W12" s="15" t="s">
        <v>90</v>
      </c>
      <c r="X12" s="12" t="s">
        <v>41</v>
      </c>
      <c r="Y12" s="12" t="s">
        <v>55</v>
      </c>
      <c r="Z12" s="12" t="s">
        <v>55</v>
      </c>
      <c r="AA12" s="12" t="s">
        <v>55</v>
      </c>
      <c r="AB12" s="12" t="s">
        <v>55</v>
      </c>
      <c r="AC12" s="12" t="s">
        <v>55</v>
      </c>
      <c r="AD12" s="12" t="s">
        <v>55</v>
      </c>
      <c r="AE12" s="12" t="s">
        <v>55</v>
      </c>
      <c r="AF12" s="12" t="s">
        <v>75</v>
      </c>
      <c r="AG12" s="12" t="s">
        <v>81</v>
      </c>
      <c r="AH12" s="12" t="s">
        <v>81</v>
      </c>
      <c r="AI12" s="12" t="s">
        <v>84</v>
      </c>
      <c r="AJ12" s="12" t="s">
        <v>89</v>
      </c>
    </row>
    <row r="13" spans="1:75" s="16" customFormat="1" ht="66.75" customHeight="1" x14ac:dyDescent="0.3">
      <c r="A13" s="15"/>
      <c r="B13" s="14" t="s">
        <v>23</v>
      </c>
      <c r="C13" s="14" t="s">
        <v>24</v>
      </c>
      <c r="D13" s="14">
        <v>57814</v>
      </c>
      <c r="E13" s="15" t="s">
        <v>29</v>
      </c>
      <c r="F13" s="14">
        <v>2023140165</v>
      </c>
      <c r="G13" s="15" t="s">
        <v>30</v>
      </c>
      <c r="H13" s="15" t="s">
        <v>38</v>
      </c>
      <c r="I13" s="15" t="s">
        <v>39</v>
      </c>
      <c r="J13" s="15" t="s">
        <v>40</v>
      </c>
      <c r="K13" s="14" t="s">
        <v>27</v>
      </c>
      <c r="L13" s="12" t="s">
        <v>89</v>
      </c>
      <c r="M13" s="15" t="s">
        <v>31</v>
      </c>
      <c r="N13" s="15" t="s">
        <v>42</v>
      </c>
      <c r="O13" s="15" t="s">
        <v>43</v>
      </c>
      <c r="P13" s="15" t="s">
        <v>43</v>
      </c>
      <c r="Q13" s="15" t="s">
        <v>80</v>
      </c>
      <c r="R13" s="15" t="s">
        <v>80</v>
      </c>
      <c r="S13" s="15" t="s">
        <v>85</v>
      </c>
      <c r="T13" s="15" t="s">
        <v>85</v>
      </c>
      <c r="U13" s="15" t="s">
        <v>88</v>
      </c>
      <c r="V13" s="15" t="s">
        <v>90</v>
      </c>
      <c r="W13" s="15" t="s">
        <v>90</v>
      </c>
      <c r="X13" s="12" t="s">
        <v>41</v>
      </c>
      <c r="Y13" s="12" t="s">
        <v>55</v>
      </c>
      <c r="Z13" s="12" t="s">
        <v>55</v>
      </c>
      <c r="AA13" s="12" t="s">
        <v>55</v>
      </c>
      <c r="AB13" s="12" t="s">
        <v>55</v>
      </c>
      <c r="AC13" s="12" t="s">
        <v>55</v>
      </c>
      <c r="AD13" s="12" t="s">
        <v>55</v>
      </c>
      <c r="AE13" s="12" t="s">
        <v>55</v>
      </c>
      <c r="AF13" s="12" t="s">
        <v>75</v>
      </c>
      <c r="AG13" s="12" t="s">
        <v>81</v>
      </c>
      <c r="AH13" s="12" t="s">
        <v>81</v>
      </c>
      <c r="AI13" s="12" t="s">
        <v>84</v>
      </c>
      <c r="AJ13" s="12" t="s">
        <v>89</v>
      </c>
    </row>
    <row r="14" spans="1:75" ht="151.80000000000001" x14ac:dyDescent="0.3">
      <c r="B14" s="15">
        <v>2451042820</v>
      </c>
      <c r="C14" s="14" t="s">
        <v>93</v>
      </c>
      <c r="D14" s="14" t="s">
        <v>94</v>
      </c>
      <c r="E14" s="14" t="s">
        <v>107</v>
      </c>
      <c r="F14" s="15" t="s">
        <v>108</v>
      </c>
      <c r="G14" s="14" t="s">
        <v>109</v>
      </c>
      <c r="H14" s="15" t="s">
        <v>114</v>
      </c>
      <c r="I14" s="15" t="s">
        <v>198</v>
      </c>
      <c r="J14" s="15" t="s">
        <v>199</v>
      </c>
      <c r="K14" s="15"/>
      <c r="L14" s="14" t="s">
        <v>170</v>
      </c>
      <c r="M14" s="12" t="s">
        <v>204</v>
      </c>
      <c r="N14" s="15" t="s">
        <v>175</v>
      </c>
      <c r="O14" s="15" t="s">
        <v>200</v>
      </c>
      <c r="P14" s="15" t="s">
        <v>201</v>
      </c>
      <c r="Q14" s="15"/>
      <c r="R14" s="15"/>
      <c r="S14" s="15"/>
      <c r="T14" s="15"/>
      <c r="U14" s="15"/>
      <c r="V14" s="15"/>
      <c r="W14" s="15" t="s">
        <v>202</v>
      </c>
      <c r="X14" s="15" t="s">
        <v>203</v>
      </c>
      <c r="Y14" s="12" t="s">
        <v>113</v>
      </c>
      <c r="Z14" s="12" t="s">
        <v>113</v>
      </c>
      <c r="AA14" s="12" t="s">
        <v>113</v>
      </c>
      <c r="AB14" s="12" t="s">
        <v>113</v>
      </c>
      <c r="AC14" s="12" t="s">
        <v>113</v>
      </c>
      <c r="AD14" s="12" t="s">
        <v>113</v>
      </c>
      <c r="AE14" s="12" t="s">
        <v>113</v>
      </c>
      <c r="AF14" s="12" t="s">
        <v>113</v>
      </c>
      <c r="AG14" s="12" t="s">
        <v>113</v>
      </c>
      <c r="AH14" s="12" t="s">
        <v>113</v>
      </c>
      <c r="AI14" s="12" t="s">
        <v>113</v>
      </c>
      <c r="AJ14" s="12" t="s">
        <v>113</v>
      </c>
      <c r="AK14" s="12" t="s">
        <v>113</v>
      </c>
      <c r="AL14" s="12" t="s">
        <v>113</v>
      </c>
      <c r="AM14" s="12" t="s">
        <v>113</v>
      </c>
      <c r="AN14" s="12" t="s">
        <v>113</v>
      </c>
      <c r="AO14" s="12" t="s">
        <v>113</v>
      </c>
      <c r="AP14" s="12" t="s">
        <v>113</v>
      </c>
      <c r="AQ14" s="12" t="s">
        <v>113</v>
      </c>
      <c r="AR14" s="12" t="s">
        <v>113</v>
      </c>
      <c r="AS14" s="12" t="s">
        <v>113</v>
      </c>
      <c r="AT14" s="12" t="s">
        <v>113</v>
      </c>
      <c r="AU14" s="12" t="s">
        <v>113</v>
      </c>
      <c r="AV14" s="12" t="s">
        <v>148</v>
      </c>
      <c r="AW14" s="12" t="s">
        <v>148</v>
      </c>
      <c r="AX14" s="12" t="s">
        <v>148</v>
      </c>
      <c r="AY14" s="12" t="s">
        <v>148</v>
      </c>
      <c r="AZ14" s="12" t="s">
        <v>154</v>
      </c>
      <c r="BA14" s="12" t="s">
        <v>156</v>
      </c>
      <c r="BB14" s="12" t="s">
        <v>156</v>
      </c>
      <c r="BC14" s="12" t="s">
        <v>156</v>
      </c>
      <c r="BD14" s="12" t="s">
        <v>156</v>
      </c>
      <c r="BE14" s="12" t="s">
        <v>163</v>
      </c>
      <c r="BF14" s="12" t="s">
        <v>163</v>
      </c>
      <c r="BG14" s="12" t="s">
        <v>166</v>
      </c>
      <c r="BH14" s="12" t="s">
        <v>171</v>
      </c>
      <c r="BI14" s="12" t="s">
        <v>171</v>
      </c>
      <c r="BJ14" s="12" t="s">
        <v>171</v>
      </c>
      <c r="BK14" s="12" t="s">
        <v>171</v>
      </c>
      <c r="BL14" s="12" t="s">
        <v>177</v>
      </c>
      <c r="BM14" s="12" t="s">
        <v>180</v>
      </c>
      <c r="BN14" s="12" t="s">
        <v>179</v>
      </c>
      <c r="BO14" s="12" t="s">
        <v>179</v>
      </c>
      <c r="BP14" s="15" t="s">
        <v>191</v>
      </c>
      <c r="BQ14" s="19" t="s">
        <v>186</v>
      </c>
      <c r="BR14" s="15" t="s">
        <v>187</v>
      </c>
      <c r="BS14" s="20">
        <v>5100</v>
      </c>
      <c r="BT14" s="20">
        <v>3400</v>
      </c>
      <c r="BU14" s="20">
        <v>6000</v>
      </c>
      <c r="BV14" s="20">
        <v>0</v>
      </c>
      <c r="BW14" s="15">
        <v>56</v>
      </c>
    </row>
    <row r="15" spans="1:75" ht="151.80000000000001" x14ac:dyDescent="0.3">
      <c r="B15" s="15">
        <v>2451042828</v>
      </c>
      <c r="C15" s="14" t="s">
        <v>93</v>
      </c>
      <c r="D15" s="14" t="s">
        <v>94</v>
      </c>
      <c r="E15" s="14" t="s">
        <v>110</v>
      </c>
      <c r="F15" s="15" t="s">
        <v>111</v>
      </c>
      <c r="G15" s="14" t="s">
        <v>112</v>
      </c>
      <c r="H15" s="15" t="s">
        <v>114</v>
      </c>
      <c r="I15" s="15" t="s">
        <v>198</v>
      </c>
      <c r="J15" s="15" t="s">
        <v>199</v>
      </c>
      <c r="K15" s="15"/>
      <c r="L15" s="14" t="s">
        <v>170</v>
      </c>
      <c r="M15" s="12" t="s">
        <v>204</v>
      </c>
      <c r="N15" s="15" t="s">
        <v>175</v>
      </c>
      <c r="O15" s="15" t="s">
        <v>200</v>
      </c>
      <c r="P15" s="15" t="s">
        <v>201</v>
      </c>
      <c r="Q15" s="15"/>
      <c r="R15" s="15"/>
      <c r="S15" s="15"/>
      <c r="T15" s="15"/>
      <c r="U15" s="15"/>
      <c r="V15" s="15"/>
      <c r="W15" s="15" t="s">
        <v>202</v>
      </c>
      <c r="X15" s="15" t="s">
        <v>203</v>
      </c>
      <c r="Y15" s="12" t="s">
        <v>113</v>
      </c>
      <c r="Z15" s="12" t="s">
        <v>113</v>
      </c>
      <c r="AA15" s="12" t="s">
        <v>113</v>
      </c>
      <c r="AB15" s="12" t="s">
        <v>113</v>
      </c>
      <c r="AC15" s="12" t="s">
        <v>113</v>
      </c>
      <c r="AD15" s="12" t="s">
        <v>113</v>
      </c>
      <c r="AE15" s="12" t="s">
        <v>113</v>
      </c>
      <c r="AF15" s="12" t="s">
        <v>113</v>
      </c>
      <c r="AG15" s="12" t="s">
        <v>113</v>
      </c>
      <c r="AH15" s="12" t="s">
        <v>113</v>
      </c>
      <c r="AI15" s="12" t="s">
        <v>113</v>
      </c>
      <c r="AJ15" s="12" t="s">
        <v>113</v>
      </c>
      <c r="AK15" s="12" t="s">
        <v>113</v>
      </c>
      <c r="AL15" s="12" t="s">
        <v>113</v>
      </c>
      <c r="AM15" s="12" t="s">
        <v>113</v>
      </c>
      <c r="AN15" s="12" t="s">
        <v>113</v>
      </c>
      <c r="AO15" s="12" t="s">
        <v>113</v>
      </c>
      <c r="AP15" s="12" t="s">
        <v>113</v>
      </c>
      <c r="AQ15" s="12" t="s">
        <v>113</v>
      </c>
      <c r="AR15" s="12" t="s">
        <v>113</v>
      </c>
      <c r="AS15" s="12" t="s">
        <v>113</v>
      </c>
      <c r="AT15" s="12" t="s">
        <v>113</v>
      </c>
      <c r="AU15" s="12" t="s">
        <v>113</v>
      </c>
      <c r="AV15" s="12" t="s">
        <v>148</v>
      </c>
      <c r="AW15" s="12" t="s">
        <v>148</v>
      </c>
      <c r="AX15" s="12" t="s">
        <v>148</v>
      </c>
      <c r="AY15" s="12" t="s">
        <v>148</v>
      </c>
      <c r="AZ15" s="12" t="s">
        <v>154</v>
      </c>
      <c r="BA15" s="12" t="s">
        <v>156</v>
      </c>
      <c r="BB15" s="12" t="s">
        <v>156</v>
      </c>
      <c r="BC15" s="12" t="s">
        <v>156</v>
      </c>
      <c r="BD15" s="12" t="s">
        <v>156</v>
      </c>
      <c r="BE15" s="12" t="s">
        <v>163</v>
      </c>
      <c r="BF15" s="12" t="s">
        <v>163</v>
      </c>
      <c r="BG15" s="12" t="s">
        <v>166</v>
      </c>
      <c r="BH15" s="12" t="s">
        <v>171</v>
      </c>
      <c r="BI15" s="12" t="s">
        <v>171</v>
      </c>
      <c r="BJ15" s="12" t="s">
        <v>171</v>
      </c>
      <c r="BK15" s="12" t="s">
        <v>171</v>
      </c>
      <c r="BL15" s="12" t="s">
        <v>177</v>
      </c>
      <c r="BM15" s="12" t="s">
        <v>180</v>
      </c>
      <c r="BN15" s="12" t="s">
        <v>179</v>
      </c>
      <c r="BO15" s="12" t="s">
        <v>179</v>
      </c>
      <c r="BP15" s="15" t="s">
        <v>191</v>
      </c>
      <c r="BQ15" s="19" t="s">
        <v>186</v>
      </c>
      <c r="BR15" s="15" t="s">
        <v>187</v>
      </c>
      <c r="BS15" s="20">
        <v>5100</v>
      </c>
      <c r="BT15" s="20">
        <v>3400</v>
      </c>
      <c r="BU15" s="20">
        <v>6000</v>
      </c>
      <c r="BV15" s="20">
        <v>0</v>
      </c>
      <c r="BW15" s="15">
        <v>56</v>
      </c>
    </row>
    <row r="16" spans="1:75" ht="151.80000000000001" x14ac:dyDescent="0.3">
      <c r="B16" s="15" t="s">
        <v>167</v>
      </c>
      <c r="C16" s="14" t="s">
        <v>135</v>
      </c>
      <c r="D16" s="14" t="s">
        <v>136</v>
      </c>
      <c r="E16" s="14">
        <v>74599</v>
      </c>
      <c r="F16" s="15" t="s">
        <v>137</v>
      </c>
      <c r="G16" s="14" t="s">
        <v>139</v>
      </c>
      <c r="H16" s="15" t="s">
        <v>142</v>
      </c>
      <c r="I16" s="25"/>
      <c r="J16" s="25"/>
      <c r="K16" s="15"/>
      <c r="L16" s="14" t="s">
        <v>160</v>
      </c>
      <c r="M16" s="12" t="s">
        <v>217</v>
      </c>
      <c r="N16" s="15" t="s">
        <v>191</v>
      </c>
      <c r="O16" s="15" t="s">
        <v>207</v>
      </c>
      <c r="P16" s="15" t="s">
        <v>211</v>
      </c>
      <c r="Q16" s="15" t="s">
        <v>211</v>
      </c>
      <c r="R16" s="15" t="s">
        <v>213</v>
      </c>
      <c r="S16" s="15" t="s">
        <v>213</v>
      </c>
      <c r="T16" s="15" t="s">
        <v>213</v>
      </c>
      <c r="U16" s="15" t="s">
        <v>213</v>
      </c>
      <c r="V16" s="15" t="s">
        <v>215</v>
      </c>
      <c r="W16" s="15"/>
      <c r="X16" s="15" t="s">
        <v>216</v>
      </c>
      <c r="Y16" s="12" t="s">
        <v>141</v>
      </c>
      <c r="Z16" s="12" t="s">
        <v>141</v>
      </c>
      <c r="AA16" s="12" t="s">
        <v>141</v>
      </c>
      <c r="AB16" s="12" t="s">
        <v>141</v>
      </c>
      <c r="AC16" s="12" t="s">
        <v>141</v>
      </c>
      <c r="AD16" s="12" t="s">
        <v>150</v>
      </c>
      <c r="AE16" s="12" t="s">
        <v>150</v>
      </c>
      <c r="AF16" s="12" t="s">
        <v>150</v>
      </c>
      <c r="AG16" s="12" t="s">
        <v>150</v>
      </c>
      <c r="AH16" s="12" t="s">
        <v>141</v>
      </c>
      <c r="AI16" s="12" t="s">
        <v>141</v>
      </c>
      <c r="AJ16" s="12" t="s">
        <v>141</v>
      </c>
      <c r="AK16" s="12" t="s">
        <v>141</v>
      </c>
      <c r="AL16" s="12" t="s">
        <v>161</v>
      </c>
      <c r="AM16" s="12" t="s">
        <v>161</v>
      </c>
      <c r="AN16" s="12" t="s">
        <v>161</v>
      </c>
      <c r="AO16" s="12" t="s">
        <v>161</v>
      </c>
      <c r="AP16" s="12" t="s">
        <v>161</v>
      </c>
      <c r="AQ16" s="12" t="s">
        <v>161</v>
      </c>
      <c r="AR16" s="12" t="s">
        <v>161</v>
      </c>
      <c r="AS16" s="12" t="s">
        <v>161</v>
      </c>
      <c r="AT16" s="12" t="s">
        <v>161</v>
      </c>
      <c r="AU16" s="12" t="s">
        <v>192</v>
      </c>
      <c r="AV16" s="12" t="s">
        <v>205</v>
      </c>
      <c r="AW16" s="12" t="s">
        <v>206</v>
      </c>
      <c r="AX16" s="12" t="s">
        <v>208</v>
      </c>
      <c r="AY16" s="12" t="s">
        <v>209</v>
      </c>
      <c r="AZ16" s="12" t="s">
        <v>210</v>
      </c>
      <c r="BA16" s="12" t="s">
        <v>212</v>
      </c>
      <c r="BB16" s="12" t="s">
        <v>212</v>
      </c>
      <c r="BC16" s="12" t="s">
        <v>212</v>
      </c>
      <c r="BD16" s="12" t="s">
        <v>214</v>
      </c>
      <c r="BE16" s="12" t="s">
        <v>217</v>
      </c>
    </row>
    <row r="17" spans="2:57" ht="151.80000000000001" x14ac:dyDescent="0.3">
      <c r="B17" s="15" t="s">
        <v>168</v>
      </c>
      <c r="C17" s="14" t="s">
        <v>135</v>
      </c>
      <c r="D17" s="14" t="s">
        <v>136</v>
      </c>
      <c r="E17" s="14">
        <v>74600</v>
      </c>
      <c r="F17" s="15" t="s">
        <v>138</v>
      </c>
      <c r="G17" s="14" t="s">
        <v>140</v>
      </c>
      <c r="H17" s="15" t="s">
        <v>143</v>
      </c>
      <c r="I17" s="25"/>
      <c r="J17" s="25"/>
      <c r="K17" s="15"/>
      <c r="L17" s="14" t="s">
        <v>160</v>
      </c>
      <c r="M17" s="12" t="s">
        <v>217</v>
      </c>
      <c r="N17" s="15" t="s">
        <v>191</v>
      </c>
      <c r="O17" s="15" t="s">
        <v>207</v>
      </c>
      <c r="P17" s="15" t="s">
        <v>211</v>
      </c>
      <c r="Q17" s="15" t="s">
        <v>211</v>
      </c>
      <c r="R17" s="15" t="s">
        <v>213</v>
      </c>
      <c r="S17" s="15" t="s">
        <v>213</v>
      </c>
      <c r="T17" s="15" t="s">
        <v>213</v>
      </c>
      <c r="U17" s="15" t="s">
        <v>213</v>
      </c>
      <c r="V17" s="15" t="s">
        <v>215</v>
      </c>
      <c r="W17" s="15"/>
      <c r="X17" s="15" t="s">
        <v>216</v>
      </c>
      <c r="Y17" s="12" t="s">
        <v>141</v>
      </c>
      <c r="Z17" s="12" t="s">
        <v>141</v>
      </c>
      <c r="AA17" s="12" t="s">
        <v>141</v>
      </c>
      <c r="AB17" s="12" t="s">
        <v>141</v>
      </c>
      <c r="AC17" s="12" t="s">
        <v>141</v>
      </c>
      <c r="AD17" s="12" t="s">
        <v>150</v>
      </c>
      <c r="AE17" s="12" t="s">
        <v>150</v>
      </c>
      <c r="AF17" s="12" t="s">
        <v>150</v>
      </c>
      <c r="AG17" s="12" t="s">
        <v>150</v>
      </c>
      <c r="AH17" s="12" t="s">
        <v>141</v>
      </c>
      <c r="AI17" s="12" t="s">
        <v>141</v>
      </c>
      <c r="AJ17" s="12" t="s">
        <v>141</v>
      </c>
      <c r="AK17" s="12" t="s">
        <v>141</v>
      </c>
      <c r="AL17" s="12" t="s">
        <v>161</v>
      </c>
      <c r="AM17" s="12" t="s">
        <v>161</v>
      </c>
      <c r="AN17" s="12" t="s">
        <v>161</v>
      </c>
      <c r="AO17" s="12" t="s">
        <v>161</v>
      </c>
      <c r="AP17" s="12" t="s">
        <v>161</v>
      </c>
      <c r="AQ17" s="12" t="s">
        <v>161</v>
      </c>
      <c r="AR17" s="12" t="s">
        <v>161</v>
      </c>
      <c r="AS17" s="12" t="s">
        <v>161</v>
      </c>
      <c r="AT17" s="12" t="s">
        <v>161</v>
      </c>
      <c r="AU17" s="12" t="s">
        <v>192</v>
      </c>
      <c r="AV17" s="12" t="s">
        <v>205</v>
      </c>
      <c r="AW17" s="12" t="s">
        <v>206</v>
      </c>
      <c r="AX17" s="12" t="s">
        <v>208</v>
      </c>
      <c r="AY17" s="12" t="s">
        <v>209</v>
      </c>
      <c r="AZ17" s="12" t="s">
        <v>210</v>
      </c>
      <c r="BA17" s="12" t="s">
        <v>212</v>
      </c>
      <c r="BB17" s="12" t="s">
        <v>212</v>
      </c>
      <c r="BC17" s="12" t="s">
        <v>212</v>
      </c>
      <c r="BD17" s="12" t="s">
        <v>214</v>
      </c>
      <c r="BE17" s="12" t="s">
        <v>217</v>
      </c>
    </row>
    <row r="18" spans="2:57" ht="41.4" x14ac:dyDescent="0.3">
      <c r="B18" s="15" t="s">
        <v>221</v>
      </c>
      <c r="C18" s="14" t="s">
        <v>222</v>
      </c>
      <c r="D18" s="14" t="s">
        <v>242</v>
      </c>
      <c r="E18" s="15" t="s">
        <v>223</v>
      </c>
      <c r="F18" s="15" t="s">
        <v>223</v>
      </c>
      <c r="G18" s="14">
        <v>6293053</v>
      </c>
      <c r="H18" s="15" t="s">
        <v>218</v>
      </c>
      <c r="I18" s="25"/>
      <c r="J18" s="25"/>
      <c r="K18" s="15"/>
      <c r="L18" s="14" t="s">
        <v>219</v>
      </c>
      <c r="M18" s="12" t="s">
        <v>249</v>
      </c>
      <c r="N18" s="15" t="s">
        <v>238</v>
      </c>
      <c r="O18" s="15" t="s">
        <v>239</v>
      </c>
      <c r="P18" s="15"/>
      <c r="Q18" s="15"/>
      <c r="R18" s="15"/>
      <c r="S18" s="15"/>
      <c r="T18" s="15"/>
      <c r="U18" s="15"/>
      <c r="V18" s="15"/>
      <c r="W18" s="15"/>
      <c r="X18" s="15" t="s">
        <v>239</v>
      </c>
      <c r="Y18" s="12" t="s">
        <v>220</v>
      </c>
      <c r="Z18" s="12" t="s">
        <v>220</v>
      </c>
      <c r="AA18" s="12" t="s">
        <v>220</v>
      </c>
      <c r="AB18" s="12" t="s">
        <v>232</v>
      </c>
      <c r="AC18" s="12" t="s">
        <v>240</v>
      </c>
      <c r="AD18" s="12" t="s">
        <v>249</v>
      </c>
      <c r="AE18" s="12" t="s">
        <v>249</v>
      </c>
    </row>
    <row r="19" spans="2:57" ht="41.4" x14ac:dyDescent="0.3">
      <c r="B19" s="15" t="s">
        <v>226</v>
      </c>
      <c r="C19" s="14" t="s">
        <v>224</v>
      </c>
      <c r="D19" s="14" t="s">
        <v>24</v>
      </c>
      <c r="E19" s="15" t="s">
        <v>228</v>
      </c>
      <c r="F19" s="15" t="s">
        <v>229</v>
      </c>
      <c r="G19" s="14">
        <v>2199010</v>
      </c>
      <c r="H19" s="15" t="s">
        <v>230</v>
      </c>
      <c r="I19" s="25" t="s">
        <v>255</v>
      </c>
      <c r="J19" s="25" t="s">
        <v>256</v>
      </c>
      <c r="K19" s="15"/>
      <c r="L19" s="14" t="s">
        <v>231</v>
      </c>
      <c r="M19" s="12" t="s">
        <v>260</v>
      </c>
      <c r="N19" s="15" t="s">
        <v>239</v>
      </c>
      <c r="O19" s="15" t="s">
        <v>259</v>
      </c>
      <c r="P19" s="15"/>
      <c r="Q19" s="15"/>
      <c r="R19" s="15"/>
      <c r="S19" s="15"/>
      <c r="T19" s="15"/>
      <c r="U19" s="15"/>
      <c r="V19" s="15"/>
      <c r="W19" s="15"/>
      <c r="X19" s="15" t="s">
        <v>259</v>
      </c>
      <c r="Y19" s="12"/>
      <c r="Z19" s="12"/>
      <c r="AA19" s="12"/>
      <c r="AB19" s="12" t="s">
        <v>233</v>
      </c>
      <c r="AC19" s="12" t="s">
        <v>241</v>
      </c>
      <c r="AD19" s="12" t="s">
        <v>250</v>
      </c>
      <c r="AE19" s="12" t="s">
        <v>257</v>
      </c>
      <c r="AF19" s="12" t="s">
        <v>260</v>
      </c>
      <c r="AG19" s="12" t="s">
        <v>260</v>
      </c>
    </row>
    <row r="20" spans="2:57" ht="41.4" x14ac:dyDescent="0.3">
      <c r="B20" s="15" t="s">
        <v>225</v>
      </c>
      <c r="C20" s="14" t="s">
        <v>224</v>
      </c>
      <c r="D20" s="14" t="s">
        <v>242</v>
      </c>
      <c r="E20" s="15" t="s">
        <v>234</v>
      </c>
      <c r="F20" s="15" t="s">
        <v>235</v>
      </c>
      <c r="G20" s="14">
        <v>2195265</v>
      </c>
      <c r="H20" s="15" t="s">
        <v>230</v>
      </c>
      <c r="I20" s="25" t="s">
        <v>251</v>
      </c>
      <c r="J20" s="25" t="s">
        <v>252</v>
      </c>
      <c r="K20" s="15"/>
      <c r="L20" s="14" t="s">
        <v>231</v>
      </c>
      <c r="M20" s="12" t="s">
        <v>264</v>
      </c>
      <c r="N20" s="15" t="s">
        <v>239</v>
      </c>
      <c r="O20" s="15" t="s">
        <v>259</v>
      </c>
      <c r="P20" s="15"/>
      <c r="Q20" s="15"/>
      <c r="R20" s="15"/>
      <c r="S20" s="15"/>
      <c r="T20" s="15"/>
      <c r="U20" s="15"/>
      <c r="V20" s="15"/>
      <c r="W20" s="15"/>
      <c r="X20" s="15" t="s">
        <v>263</v>
      </c>
      <c r="Y20" s="12"/>
      <c r="Z20" s="12"/>
      <c r="AA20" s="12"/>
      <c r="AB20" s="12" t="s">
        <v>233</v>
      </c>
      <c r="AC20" s="12" t="s">
        <v>241</v>
      </c>
      <c r="AD20" s="12" t="s">
        <v>250</v>
      </c>
      <c r="AE20" s="12" t="s">
        <v>258</v>
      </c>
      <c r="AF20" s="12" t="s">
        <v>261</v>
      </c>
      <c r="AG20" s="12" t="s">
        <v>262</v>
      </c>
      <c r="AH20" s="12" t="s">
        <v>264</v>
      </c>
    </row>
    <row r="21" spans="2:57" ht="41.4" x14ac:dyDescent="0.3">
      <c r="B21" s="15" t="s">
        <v>227</v>
      </c>
      <c r="C21" s="14" t="s">
        <v>224</v>
      </c>
      <c r="D21" s="14" t="s">
        <v>24</v>
      </c>
      <c r="E21" s="14" t="s">
        <v>236</v>
      </c>
      <c r="F21" s="15" t="s">
        <v>237</v>
      </c>
      <c r="G21" s="14">
        <v>2199017</v>
      </c>
      <c r="H21" s="15" t="s">
        <v>230</v>
      </c>
      <c r="I21" s="25" t="s">
        <v>253</v>
      </c>
      <c r="J21" s="25" t="s">
        <v>254</v>
      </c>
      <c r="K21" s="15"/>
      <c r="L21" s="14" t="s">
        <v>231</v>
      </c>
      <c r="M21" s="12" t="s">
        <v>264</v>
      </c>
      <c r="N21" s="15" t="s">
        <v>239</v>
      </c>
      <c r="O21" s="15" t="s">
        <v>259</v>
      </c>
      <c r="P21" s="15"/>
      <c r="Q21" s="15"/>
      <c r="R21" s="15"/>
      <c r="S21" s="15"/>
      <c r="T21" s="15"/>
      <c r="U21" s="15"/>
      <c r="V21" s="15"/>
      <c r="W21" s="15"/>
      <c r="X21" s="15" t="s">
        <v>263</v>
      </c>
      <c r="Y21" s="12"/>
      <c r="Z21" s="12"/>
      <c r="AA21" s="12"/>
      <c r="AB21" s="12" t="s">
        <v>233</v>
      </c>
      <c r="AC21" s="12" t="s">
        <v>241</v>
      </c>
      <c r="AD21" s="12" t="s">
        <v>250</v>
      </c>
      <c r="AE21" s="12" t="s">
        <v>258</v>
      </c>
      <c r="AF21" s="12" t="s">
        <v>261</v>
      </c>
      <c r="AG21" s="12" t="s">
        <v>262</v>
      </c>
      <c r="AH21" s="12" t="s">
        <v>264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C13055-4F5D-4A54-878C-579423BEA812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2.xml><?xml version="1.0" encoding="utf-8"?>
<ds:datastoreItem xmlns:ds="http://schemas.openxmlformats.org/officeDocument/2006/customXml" ds:itemID="{A3247FA1-B8A3-4EA3-82A5-8FAFCFDE74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20E365-D6C1-4846-BD60-B8EB7A124B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 SHIPMENTS</vt:lpstr>
      <vt:lpstr>OFFLOADED 2025</vt:lpstr>
      <vt:lpstr>REMOVED FROM WHSE</vt:lpstr>
      <vt:lpstr>OFFLOADED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Jason Ungerer</cp:lastModifiedBy>
  <dcterms:created xsi:type="dcterms:W3CDTF">2021-07-30T06:18:24Z</dcterms:created>
  <dcterms:modified xsi:type="dcterms:W3CDTF">2026-03-06T06:59:23Z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