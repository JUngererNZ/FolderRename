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5-03-2026/"/>
    </mc:Choice>
  </mc:AlternateContent>
  <xr:revisionPtr revIDLastSave="1098" documentId="13_ncr:1_{51ED1482-A59A-4A8E-ACDA-2DEB7AAA006C}" xr6:coauthVersionLast="47" xr6:coauthVersionMax="47" xr10:uidLastSave="{7586C68C-8FB1-4B10-96D4-77511D421B0C}"/>
  <bookViews>
    <workbookView xWindow="-108" yWindow="-108" windowWidth="23256" windowHeight="13896" xr2:uid="{00000000-000D-0000-FFFF-FFFF00000000}"/>
  </bookViews>
  <sheets>
    <sheet name="FML BONDED FACILITY " sheetId="25" r:id="rId1"/>
    <sheet name="NEW ARRIVALS" sheetId="26" r:id="rId2"/>
  </sheets>
  <definedNames>
    <definedName name="_xlnm._FilterDatabase" localSheetId="0" hidden="1">'FML BONDED FACILITY '!$E$2:$G$2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7" i="25" l="1"/>
  <c r="AH16" i="25"/>
  <c r="AH13" i="25"/>
  <c r="AH12" i="25"/>
  <c r="AH5" i="25"/>
  <c r="AG19" i="25"/>
  <c r="AG18" i="25"/>
  <c r="AG17" i="25"/>
  <c r="AG16" i="25"/>
  <c r="AG15" i="25"/>
  <c r="AG14" i="25"/>
  <c r="AG13" i="25"/>
  <c r="AG12" i="25"/>
  <c r="AG11" i="25"/>
  <c r="AG10" i="25"/>
  <c r="AG9" i="25"/>
  <c r="AG8" i="25"/>
  <c r="AG7" i="25"/>
  <c r="AG6" i="25"/>
  <c r="AG5" i="25"/>
  <c r="AG4" i="25"/>
  <c r="AG3" i="25"/>
  <c r="AF15" i="25"/>
  <c r="AH15" i="25" s="1"/>
  <c r="AF14" i="25"/>
  <c r="AH14" i="25" s="1"/>
  <c r="AF13" i="25"/>
  <c r="AF12" i="25"/>
  <c r="AF11" i="25"/>
  <c r="AH11" i="25" s="1"/>
  <c r="AF4" i="25"/>
  <c r="AH4" i="25" s="1"/>
  <c r="AH10" i="25"/>
  <c r="AH9" i="25"/>
  <c r="AH8" i="25"/>
  <c r="AH7" i="25"/>
  <c r="AH6" i="25"/>
  <c r="AH18" i="25"/>
  <c r="AH19" i="25"/>
  <c r="AF3" i="25" l="1"/>
  <c r="AH3" i="25" s="1"/>
</calcChain>
</file>

<file path=xl/sharedStrings.xml><?xml version="1.0" encoding="utf-8"?>
<sst xmlns="http://schemas.openxmlformats.org/spreadsheetml/2006/main" count="286" uniqueCount="147">
  <si>
    <t>CLIENT PO</t>
  </si>
  <si>
    <t>HORSE REG NO</t>
  </si>
  <si>
    <t>TRAILER REG NO</t>
  </si>
  <si>
    <t>Final Documents   Submitted</t>
  </si>
  <si>
    <t>CLIENT</t>
  </si>
  <si>
    <t>CARGO DETAILS</t>
  </si>
  <si>
    <t>FML REF</t>
  </si>
  <si>
    <t>MANIFEST NO.</t>
  </si>
  <si>
    <t>ENGINE NUMBER</t>
  </si>
  <si>
    <t>SERIAL NUMBER</t>
  </si>
  <si>
    <t>ACTUAL STATUS</t>
  </si>
  <si>
    <t>ACTUAL DURBAN ARRIVAL DATE</t>
  </si>
  <si>
    <t>BOND EXPIRY DATE</t>
  </si>
  <si>
    <t>ACTUAL REMOVAL DATE FROM BONDED FACILITY</t>
  </si>
  <si>
    <t>DATE RECEIVED INTO BONDED FACILITY</t>
  </si>
  <si>
    <t>REMOVAL FROM BOND REQUIRED DATE ON OR BEFORE</t>
  </si>
  <si>
    <t>ESTIMATE DURBAN ARRIVAL DATE</t>
  </si>
  <si>
    <t>BILL OF LADING NUMBER:</t>
  </si>
  <si>
    <t>CLIENT PO:</t>
  </si>
  <si>
    <t>CLIENT:</t>
  </si>
  <si>
    <t>CARGO DETAILS:</t>
  </si>
  <si>
    <t>SERIAL NUMBER:</t>
  </si>
  <si>
    <t>ENGINE NUMBER:</t>
  </si>
  <si>
    <t>FML REF:</t>
  </si>
  <si>
    <t>VESSEL:</t>
  </si>
  <si>
    <t>ESTIMATE DURBAN ARRIVAL DATE:</t>
  </si>
  <si>
    <t>X-HAUL PORT TO BOND STORE</t>
  </si>
  <si>
    <t>HANDLING IN/OUT</t>
  </si>
  <si>
    <t>TOTAL COST PER UNIT</t>
  </si>
  <si>
    <t>N/A</t>
  </si>
  <si>
    <t>TBA</t>
  </si>
  <si>
    <r>
      <rPr>
        <b/>
        <sz val="11"/>
        <color rgb="FFFF0000"/>
        <rFont val="Calibri"/>
        <family val="2"/>
        <scheme val="minor"/>
      </rPr>
      <t>OCTOBER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</si>
  <si>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t>28-10-2024</t>
  </si>
  <si>
    <t>29-10-2024</t>
  </si>
  <si>
    <t>BA2797</t>
  </si>
  <si>
    <t>CAT428-07A BACKHOE LOADER</t>
  </si>
  <si>
    <t>L7D01960</t>
  </si>
  <si>
    <t>C4Z14718</t>
  </si>
  <si>
    <t>FML2410DSI2607</t>
  </si>
  <si>
    <r>
      <rPr>
        <b/>
        <sz val="11"/>
        <color rgb="FFFF0000"/>
        <rFont val="Calibri"/>
        <family val="2"/>
        <scheme val="minor"/>
      </rPr>
      <t>NOVEMBER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</si>
  <si>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DECEMBER 2024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</si>
  <si>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</si>
  <si>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FEBRUARY 2025</t>
    </r>
    <r>
      <rPr>
        <b/>
        <sz val="11"/>
        <color theme="1"/>
        <rFont val="Calibri"/>
        <family val="2"/>
        <scheme val="minor"/>
      </rPr>
      <t xml:space="preserve"> - STORAGE PER MONTH @ $25 PER DAY PER UNIT</t>
    </r>
  </si>
  <si>
    <r>
      <rPr>
        <b/>
        <sz val="11"/>
        <color rgb="FFFF0000"/>
        <rFont val="Calibri"/>
        <family val="2"/>
        <scheme val="minor"/>
      </rPr>
      <t>MARCH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</si>
  <si>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24-06-2025</t>
  </si>
  <si>
    <t>24-07-2025</t>
  </si>
  <si>
    <r>
      <rPr>
        <b/>
        <sz val="11"/>
        <color rgb="FFFF0000"/>
        <rFont val="Calibri"/>
        <family val="2"/>
        <scheme val="minor"/>
      </rPr>
      <t>APRIL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</si>
  <si>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31-03-2025</t>
  </si>
  <si>
    <r>
      <rPr>
        <b/>
        <sz val="11"/>
        <color rgb="FFFF0000"/>
        <rFont val="Calibri"/>
        <family val="2"/>
        <scheme val="minor"/>
      </rPr>
      <t>MAY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</si>
  <si>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JUNE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</si>
  <si>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JULY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</si>
  <si>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AUGUST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</si>
  <si>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7030A0"/>
        <rFont val="Calibri"/>
        <family val="2"/>
        <scheme val="minor"/>
      </rPr>
      <t>EXPIRED IN BOND</t>
    </r>
    <r>
      <rPr>
        <b/>
        <sz val="11"/>
        <color theme="1"/>
        <rFont val="Calibri"/>
        <family val="2"/>
        <scheme val="minor"/>
      </rPr>
      <t xml:space="preserve"> -                                UNIT AT BONDED FACILITY - </t>
    </r>
    <r>
      <rPr>
        <b/>
        <sz val="11"/>
        <color rgb="FFFF0000"/>
        <rFont val="Calibri"/>
        <family val="2"/>
        <scheme val="minor"/>
      </rPr>
      <t>CUSTOMS RSA GRANTED A F</t>
    </r>
    <r>
      <rPr>
        <b/>
        <sz val="11"/>
        <color rgb="FFEE0000"/>
        <rFont val="Calibri"/>
        <family val="2"/>
        <scheme val="minor"/>
      </rPr>
      <t>URTHER 3 MONTHS EXTENSION</t>
    </r>
    <r>
      <rPr>
        <b/>
        <sz val="11"/>
        <rFont val="Calibri"/>
        <family val="2"/>
        <scheme val="minor"/>
      </rPr>
      <t xml:space="preserve"> - NEW EXPIRY DATE 24-07-2025</t>
    </r>
  </si>
  <si>
    <t xml:space="preserve">CAT745-04A ARTICULATED TRUCK </t>
  </si>
  <si>
    <r>
      <rPr>
        <b/>
        <sz val="11"/>
        <color rgb="FFFF0000"/>
        <rFont val="Calibri"/>
        <family val="2"/>
        <scheme val="minor"/>
      </rPr>
      <t>SEPTEMBER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</si>
  <si>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r>
      <rPr>
        <b/>
        <sz val="11"/>
        <color rgb="FFFF0000"/>
        <rFont val="Calibri"/>
        <family val="2"/>
        <scheme val="minor"/>
      </rPr>
      <t>OCTOBER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</si>
  <si>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BA2999</t>
  </si>
  <si>
    <t xml:space="preserve">CAT140GC-02A MOTOR GRADER </t>
  </si>
  <si>
    <t>W9F00654</t>
  </si>
  <si>
    <t>E7A67326</t>
  </si>
  <si>
    <t>FML2509DSI2720</t>
  </si>
  <si>
    <t xml:space="preserve"> </t>
  </si>
  <si>
    <t>BA2965</t>
  </si>
  <si>
    <t>3F606534</t>
  </si>
  <si>
    <t>FML2510DSI2728</t>
  </si>
  <si>
    <t>BA2982</t>
  </si>
  <si>
    <t>BA2983</t>
  </si>
  <si>
    <t>BA2984</t>
  </si>
  <si>
    <t>BA2985</t>
  </si>
  <si>
    <t xml:space="preserve">CAT333 HYDRAULIC EXCAVATOR </t>
  </si>
  <si>
    <t>TJT30314</t>
  </si>
  <si>
    <t>TJT30316</t>
  </si>
  <si>
    <t>TJT30317</t>
  </si>
  <si>
    <t>THT30315</t>
  </si>
  <si>
    <t>E7A67527</t>
  </si>
  <si>
    <t>E7A67512</t>
  </si>
  <si>
    <t>E7A67514</t>
  </si>
  <si>
    <t>E7A67516</t>
  </si>
  <si>
    <t>FML2510DSI2723</t>
  </si>
  <si>
    <r>
      <rPr>
        <b/>
        <sz val="11"/>
        <color rgb="FFFF0000"/>
        <rFont val="Calibri"/>
        <family val="2"/>
        <scheme val="minor"/>
      </rPr>
      <t>NOVEMBER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</si>
  <si>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BA3032</t>
  </si>
  <si>
    <t>TJT30346</t>
  </si>
  <si>
    <t>E7A67554</t>
  </si>
  <si>
    <t>FML2511DSI2730</t>
  </si>
  <si>
    <t>07-11-2025</t>
  </si>
  <si>
    <t>31-04-2025</t>
  </si>
  <si>
    <t>11-11-2025</t>
  </si>
  <si>
    <t xml:space="preserve">UNIT AT BONDED FACILITY </t>
  </si>
  <si>
    <t>23-11-2025</t>
  </si>
  <si>
    <t>24-11-2025</t>
  </si>
  <si>
    <t>17-04-2026</t>
  </si>
  <si>
    <t>17-05-2026</t>
  </si>
  <si>
    <t>BA2971</t>
  </si>
  <si>
    <t>CAT426 BACKHOE LOADER - 8 PKGS</t>
  </si>
  <si>
    <t>BA2972</t>
  </si>
  <si>
    <t>BA2973</t>
  </si>
  <si>
    <t>BA2974</t>
  </si>
  <si>
    <t>BA2975</t>
  </si>
  <si>
    <t>BA2976</t>
  </si>
  <si>
    <t>JZ4040216</t>
  </si>
  <si>
    <t>FML2511DSI2734</t>
  </si>
  <si>
    <t>JZ404214</t>
  </si>
  <si>
    <t>JZ404202</t>
  </si>
  <si>
    <t>FML2511DSI2735</t>
  </si>
  <si>
    <t>JZ404199</t>
  </si>
  <si>
    <t>JZ404200</t>
  </si>
  <si>
    <t>FML2511DSI2736</t>
  </si>
  <si>
    <t>JZ404212</t>
  </si>
  <si>
    <t>27-11-2025</t>
  </si>
  <si>
    <r>
      <rPr>
        <b/>
        <sz val="11"/>
        <color rgb="FFFF0000"/>
        <rFont val="Calibri"/>
        <family val="2"/>
        <scheme val="minor"/>
      </rPr>
      <t>DECEMBER 2025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</si>
  <si>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01-12-2025</t>
  </si>
  <si>
    <t>18-04-2026</t>
  </si>
  <si>
    <t>18-05-2026</t>
  </si>
  <si>
    <t>06-12-2025</t>
  </si>
  <si>
    <t>26-04-2026</t>
  </si>
  <si>
    <t>26-05-2026</t>
  </si>
  <si>
    <t xml:space="preserve">CAT14 MOTOR GRADER </t>
  </si>
  <si>
    <t>08-12-2025</t>
  </si>
  <si>
    <t>27-12-2025</t>
  </si>
  <si>
    <t>24-05-2026</t>
  </si>
  <si>
    <t>24-06-2026</t>
  </si>
  <si>
    <t>31-12-2025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</si>
  <si>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</si>
  <si>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BA3035</t>
  </si>
  <si>
    <t>BA3036</t>
  </si>
  <si>
    <t>FML2512DSI2743</t>
  </si>
  <si>
    <t>JZ404401</t>
  </si>
  <si>
    <t>JZ404402</t>
  </si>
  <si>
    <t>CC211001</t>
  </si>
  <si>
    <t>CC210981</t>
  </si>
  <si>
    <t>BA3085</t>
  </si>
  <si>
    <t>F5800369</t>
  </si>
  <si>
    <t>TXX06333</t>
  </si>
  <si>
    <t>FML2512DSI2751</t>
  </si>
  <si>
    <t>29-01-2026</t>
  </si>
  <si>
    <t>27-06-2026</t>
  </si>
  <si>
    <t>27-07-2026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</si>
  <si>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</si>
  <si>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 xml:space="preserve">AT BONDED FACILITY </t>
  </si>
  <si>
    <t>03-02-2026</t>
  </si>
  <si>
    <t>15-02-2026</t>
  </si>
  <si>
    <t>17-02-2026</t>
  </si>
  <si>
    <t>11-07-2026</t>
  </si>
  <si>
    <t>11-08-2026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</si>
  <si>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MARCH 2026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</si>
  <si>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$23 PER DAY PER UNIT</t>
    </r>
  </si>
  <si>
    <t>UNIT AT BONDED FACILITY - SOLD TO CE, AWAITING BV NUMBER AND RELEASE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</si>
</sst>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1009]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" fontId="3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5" borderId="0" xfId="0" applyFill="1"/>
    <xf numFmtId="0" fontId="2" fillId="5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10" xfId="4" xr:uid="{00000000-0005-0000-0000-000001000000}"/>
    <cellStyle name="Normal 11" xfId="3" xr:uid="{00000000-0005-0000-0000-000002000000}"/>
    <cellStyle name="Normal 14" xfId="1" xr:uid="{00000000-0005-0000-0000-000003000000}"/>
    <cellStyle name="Normal 9" xfId="2" xr:uid="{00000000-0005-0000-0000-000004000000}"/>
  </cellStyles>
  <dxfs count="0"/>
  <tableStyles count="0" defaultTableStyle="TableStyleMedium2" defaultPivotStyle="PivotStyleLight16"/>
  <colors>
    <mruColors>
      <color rgb="FF66FFFF"/>
      <color rgb="FF33CCCC"/>
      <color rgb="FF9F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152399</xdr:rowOff>
    </xdr:from>
    <xdr:to>
      <xdr:col>3</xdr:col>
      <xdr:colOff>552450</xdr:colOff>
      <xdr:row>0</xdr:row>
      <xdr:rowOff>1540274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7BAFC-E3F5-4717-8870-DA659306D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52399"/>
          <a:ext cx="3705225" cy="1384065"/>
        </a:xfrm>
        <a:prstGeom prst="rect">
          <a:avLst/>
        </a:prstGeom>
      </xdr:spPr>
    </xdr:pic>
    <xdr:clientData/>
  </xdr:twoCellAnchor>
  <xdr:twoCellAnchor editAs="oneCell">
    <xdr:from>
      <xdr:col>9</xdr:col>
      <xdr:colOff>445234</xdr:colOff>
      <xdr:row>0</xdr:row>
      <xdr:rowOff>142874</xdr:rowOff>
    </xdr:from>
    <xdr:to>
      <xdr:col>12</xdr:col>
      <xdr:colOff>819987</xdr:colOff>
      <xdr:row>0</xdr:row>
      <xdr:rowOff>1523999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2BFA00A-632B-43F6-8F91-EC57A030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294459" y="142874"/>
          <a:ext cx="4028543" cy="1381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0</xdr:row>
      <xdr:rowOff>190501</xdr:rowOff>
    </xdr:from>
    <xdr:to>
      <xdr:col>2</xdr:col>
      <xdr:colOff>876300</xdr:colOff>
      <xdr:row>0</xdr:row>
      <xdr:rowOff>1333501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4DEB3-6AF7-42AF-84FC-A5A80095A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90501"/>
          <a:ext cx="3076575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485775</xdr:colOff>
      <xdr:row>0</xdr:row>
      <xdr:rowOff>9525</xdr:rowOff>
    </xdr:from>
    <xdr:to>
      <xdr:col>20</xdr:col>
      <xdr:colOff>80847</xdr:colOff>
      <xdr:row>0</xdr:row>
      <xdr:rowOff>1295400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2F351784-0FA9-49E0-BDF4-915AF5D4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1375" y="9525"/>
          <a:ext cx="3128847" cy="1285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3"/>
  <sheetViews>
    <sheetView tabSelected="1" zoomScaleNormal="100" workbookViewId="0"/>
  </sheetViews>
  <sheetFormatPr defaultColWidth="9.109375" defaultRowHeight="14.4" x14ac:dyDescent="0.3"/>
  <cols>
    <col min="1" max="1" width="12.6640625" style="5" customWidth="1"/>
    <col min="2" max="2" width="1.6640625" style="1" hidden="1" customWidth="1"/>
    <col min="3" max="3" width="38.6640625" style="1" customWidth="1"/>
    <col min="4" max="4" width="17" style="1" customWidth="1"/>
    <col min="5" max="5" width="17.109375" style="1" customWidth="1"/>
    <col min="6" max="6" width="18.5546875" style="4" customWidth="1"/>
    <col min="7" max="7" width="31.109375" style="1" customWidth="1"/>
    <col min="8" max="8" width="16.88671875" style="1" customWidth="1"/>
    <col min="9" max="9" width="17.33203125" style="39" customWidth="1"/>
    <col min="10" max="10" width="21.6640625" style="1" customWidth="1"/>
    <col min="11" max="11" width="15.88671875" style="1" customWidth="1"/>
    <col min="12" max="12" width="17.33203125" style="1" customWidth="1"/>
    <col min="13" max="13" width="20" customWidth="1"/>
    <col min="14" max="14" width="17.6640625" customWidth="1"/>
    <col min="15" max="29" width="17.6640625" hidden="1" customWidth="1"/>
    <col min="30" max="32" width="17.6640625" customWidth="1"/>
    <col min="33" max="33" width="23.44140625" customWidth="1"/>
    <col min="34" max="34" width="19" customWidth="1"/>
    <col min="35" max="35" width="28" style="27" customWidth="1"/>
    <col min="36" max="36" width="28" customWidth="1"/>
  </cols>
  <sheetData>
    <row r="1" spans="1:36" ht="129" customHeight="1" x14ac:dyDescent="0.3"/>
    <row r="2" spans="1:36" s="6" customFormat="1" ht="61.5" customHeight="1" x14ac:dyDescent="0.3">
      <c r="A2" s="7" t="s">
        <v>0</v>
      </c>
      <c r="B2" s="7" t="s">
        <v>4</v>
      </c>
      <c r="C2" s="7" t="s">
        <v>5</v>
      </c>
      <c r="D2" s="7" t="s">
        <v>9</v>
      </c>
      <c r="E2" s="7" t="s">
        <v>8</v>
      </c>
      <c r="F2" s="8" t="s">
        <v>6</v>
      </c>
      <c r="G2" s="7" t="s">
        <v>10</v>
      </c>
      <c r="H2" s="7" t="s">
        <v>11</v>
      </c>
      <c r="I2" s="7" t="s">
        <v>14</v>
      </c>
      <c r="J2" s="7" t="s">
        <v>15</v>
      </c>
      <c r="K2" s="7" t="s">
        <v>12</v>
      </c>
      <c r="L2" s="7" t="s">
        <v>13</v>
      </c>
      <c r="M2" s="20" t="s">
        <v>26</v>
      </c>
      <c r="N2" s="20" t="s">
        <v>27</v>
      </c>
      <c r="O2" s="20" t="s">
        <v>31</v>
      </c>
      <c r="P2" s="20" t="s">
        <v>39</v>
      </c>
      <c r="Q2" s="20" t="s">
        <v>40</v>
      </c>
      <c r="R2" s="20" t="s">
        <v>41</v>
      </c>
      <c r="S2" s="20" t="s">
        <v>42</v>
      </c>
      <c r="T2" s="20" t="s">
        <v>43</v>
      </c>
      <c r="U2" s="20" t="s">
        <v>46</v>
      </c>
      <c r="V2" s="20" t="s">
        <v>48</v>
      </c>
      <c r="W2" s="20" t="s">
        <v>49</v>
      </c>
      <c r="X2" s="20" t="s">
        <v>50</v>
      </c>
      <c r="Y2" s="20" t="s">
        <v>51</v>
      </c>
      <c r="Z2" s="20" t="s">
        <v>54</v>
      </c>
      <c r="AA2" s="20" t="s">
        <v>55</v>
      </c>
      <c r="AB2" s="20" t="s">
        <v>79</v>
      </c>
      <c r="AC2" s="20" t="s">
        <v>109</v>
      </c>
      <c r="AD2" s="20" t="s">
        <v>122</v>
      </c>
      <c r="AE2" s="20" t="s">
        <v>137</v>
      </c>
      <c r="AF2" s="20" t="s">
        <v>145</v>
      </c>
      <c r="AG2" s="20" t="s">
        <v>144</v>
      </c>
      <c r="AH2" s="22" t="s">
        <v>28</v>
      </c>
      <c r="AI2" s="24"/>
    </row>
    <row r="3" spans="1:36" s="25" customFormat="1" ht="88.2" customHeight="1" x14ac:dyDescent="0.3">
      <c r="A3" s="23" t="s">
        <v>34</v>
      </c>
      <c r="B3" s="30"/>
      <c r="C3" s="30" t="s">
        <v>35</v>
      </c>
      <c r="D3" s="23" t="s">
        <v>36</v>
      </c>
      <c r="E3" s="23" t="s">
        <v>37</v>
      </c>
      <c r="F3" s="31" t="s">
        <v>38</v>
      </c>
      <c r="G3" s="37" t="s">
        <v>52</v>
      </c>
      <c r="H3" s="23" t="s">
        <v>32</v>
      </c>
      <c r="I3" s="23" t="s">
        <v>33</v>
      </c>
      <c r="J3" s="28" t="s">
        <v>44</v>
      </c>
      <c r="K3" s="36" t="s">
        <v>45</v>
      </c>
      <c r="L3" s="23"/>
      <c r="M3" s="32">
        <v>798</v>
      </c>
      <c r="N3" s="34">
        <v>280</v>
      </c>
      <c r="O3" s="33" t="s">
        <v>29</v>
      </c>
      <c r="P3" s="33" t="s">
        <v>29</v>
      </c>
      <c r="Q3" s="33">
        <v>100</v>
      </c>
      <c r="R3" s="33">
        <v>775</v>
      </c>
      <c r="S3" s="33">
        <v>700</v>
      </c>
      <c r="T3" s="33">
        <v>279</v>
      </c>
      <c r="U3" s="33">
        <v>210</v>
      </c>
      <c r="V3" s="33">
        <v>217</v>
      </c>
      <c r="W3" s="33">
        <v>210</v>
      </c>
      <c r="X3" s="33">
        <v>217</v>
      </c>
      <c r="Y3" s="33">
        <v>217</v>
      </c>
      <c r="Z3" s="33">
        <v>210</v>
      </c>
      <c r="AA3" s="33">
        <v>217</v>
      </c>
      <c r="AB3" s="33">
        <v>196</v>
      </c>
      <c r="AC3" s="33">
        <v>217</v>
      </c>
      <c r="AD3" s="33">
        <v>217</v>
      </c>
      <c r="AE3" s="33">
        <v>196</v>
      </c>
      <c r="AF3" s="33">
        <f>SUM(AI3*7)</f>
        <v>42</v>
      </c>
      <c r="AG3" s="3">
        <f>SUM(488+AI3)</f>
        <v>494</v>
      </c>
      <c r="AH3" s="21">
        <f>(M3+N3+R3+Q3+S3+T3+U3+V3+W3+X3+Y3+Z3+AA3+AB3+AC3+AD3+AE3+AF3)</f>
        <v>5298</v>
      </c>
      <c r="AI3" s="24">
        <v>6</v>
      </c>
      <c r="AJ3" s="26"/>
    </row>
    <row r="4" spans="1:36" s="25" customFormat="1" ht="61.5" customHeight="1" x14ac:dyDescent="0.3">
      <c r="A4" s="23" t="s">
        <v>62</v>
      </c>
      <c r="B4" s="30"/>
      <c r="C4" s="30" t="s">
        <v>53</v>
      </c>
      <c r="D4" s="23" t="s">
        <v>63</v>
      </c>
      <c r="E4" s="23" t="s">
        <v>30</v>
      </c>
      <c r="F4" s="31" t="s">
        <v>64</v>
      </c>
      <c r="G4" s="38" t="s">
        <v>87</v>
      </c>
      <c r="H4" s="23" t="s">
        <v>108</v>
      </c>
      <c r="I4" s="23" t="s">
        <v>110</v>
      </c>
      <c r="J4" s="28" t="s">
        <v>111</v>
      </c>
      <c r="K4" s="23" t="s">
        <v>112</v>
      </c>
      <c r="L4" s="23"/>
      <c r="M4" s="32">
        <v>1682</v>
      </c>
      <c r="N4" s="34">
        <v>355</v>
      </c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 t="s">
        <v>29</v>
      </c>
      <c r="AB4" s="33" t="s">
        <v>29</v>
      </c>
      <c r="AC4" s="33" t="s">
        <v>29</v>
      </c>
      <c r="AD4" s="33">
        <v>46</v>
      </c>
      <c r="AE4" s="33">
        <v>644</v>
      </c>
      <c r="AF4" s="33">
        <f>SUM(AI4*23)</f>
        <v>138</v>
      </c>
      <c r="AG4" s="3">
        <f>SUM(90+AI4)</f>
        <v>96</v>
      </c>
      <c r="AH4" s="34">
        <f>(M4+AD4+AF4+AE4+N4)</f>
        <v>2865</v>
      </c>
      <c r="AI4" s="24">
        <v>6</v>
      </c>
      <c r="AJ4" s="26"/>
    </row>
    <row r="5" spans="1:36" s="25" customFormat="1" ht="61.5" customHeight="1" x14ac:dyDescent="0.3">
      <c r="A5" s="40" t="s">
        <v>92</v>
      </c>
      <c r="B5" s="41"/>
      <c r="C5" s="41" t="s">
        <v>93</v>
      </c>
      <c r="D5" s="40" t="s">
        <v>99</v>
      </c>
      <c r="E5" s="40" t="s">
        <v>30</v>
      </c>
      <c r="F5" s="42" t="s">
        <v>100</v>
      </c>
      <c r="G5" s="43" t="s">
        <v>146</v>
      </c>
      <c r="H5" s="40" t="s">
        <v>118</v>
      </c>
      <c r="I5" s="40" t="s">
        <v>121</v>
      </c>
      <c r="J5" s="44" t="s">
        <v>119</v>
      </c>
      <c r="K5" s="40" t="s">
        <v>120</v>
      </c>
      <c r="L5" s="40"/>
      <c r="M5" s="45">
        <v>798</v>
      </c>
      <c r="N5" s="46">
        <v>225</v>
      </c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 t="s">
        <v>29</v>
      </c>
      <c r="AC5" s="47" t="s">
        <v>29</v>
      </c>
      <c r="AD5" s="47" t="s">
        <v>29</v>
      </c>
      <c r="AE5" s="47">
        <v>60</v>
      </c>
      <c r="AF5" s="47" t="s">
        <v>29</v>
      </c>
      <c r="AG5" s="41">
        <f t="shared" ref="AG5:AG10" si="0">SUM(60+AI5)</f>
        <v>66</v>
      </c>
      <c r="AH5" s="46">
        <f>(M5+N5)</f>
        <v>1023</v>
      </c>
      <c r="AI5" s="24">
        <v>6</v>
      </c>
      <c r="AJ5" s="26"/>
    </row>
    <row r="6" spans="1:36" s="25" customFormat="1" ht="61.5" customHeight="1" x14ac:dyDescent="0.3">
      <c r="A6" s="23" t="s">
        <v>94</v>
      </c>
      <c r="B6" s="30"/>
      <c r="C6" s="30" t="s">
        <v>93</v>
      </c>
      <c r="D6" s="23" t="s">
        <v>102</v>
      </c>
      <c r="E6" s="23" t="s">
        <v>30</v>
      </c>
      <c r="F6" s="31" t="s">
        <v>103</v>
      </c>
      <c r="G6" s="38" t="s">
        <v>87</v>
      </c>
      <c r="H6" s="23" t="s">
        <v>118</v>
      </c>
      <c r="I6" s="23" t="s">
        <v>121</v>
      </c>
      <c r="J6" s="28" t="s">
        <v>119</v>
      </c>
      <c r="K6" s="23" t="s">
        <v>120</v>
      </c>
      <c r="L6" s="23"/>
      <c r="M6" s="32">
        <v>798</v>
      </c>
      <c r="N6" s="34">
        <v>225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29</v>
      </c>
      <c r="AC6" s="33" t="s">
        <v>29</v>
      </c>
      <c r="AD6" s="33" t="s">
        <v>29</v>
      </c>
      <c r="AE6" s="33">
        <v>60</v>
      </c>
      <c r="AF6" s="33" t="s">
        <v>29</v>
      </c>
      <c r="AG6" s="3">
        <f t="shared" si="0"/>
        <v>66</v>
      </c>
      <c r="AH6" s="34">
        <f t="shared" ref="AH6:AH10" si="1">(M6+N6)</f>
        <v>1023</v>
      </c>
      <c r="AI6" s="24">
        <v>6</v>
      </c>
      <c r="AJ6" s="26"/>
    </row>
    <row r="7" spans="1:36" s="25" customFormat="1" ht="61.5" customHeight="1" x14ac:dyDescent="0.3">
      <c r="A7" s="23" t="s">
        <v>95</v>
      </c>
      <c r="B7" s="30"/>
      <c r="C7" s="30" t="s">
        <v>93</v>
      </c>
      <c r="D7" s="23" t="s">
        <v>104</v>
      </c>
      <c r="E7" s="23" t="s">
        <v>30</v>
      </c>
      <c r="F7" s="31" t="s">
        <v>103</v>
      </c>
      <c r="G7" s="38" t="s">
        <v>87</v>
      </c>
      <c r="H7" s="23" t="s">
        <v>118</v>
      </c>
      <c r="I7" s="23" t="s">
        <v>121</v>
      </c>
      <c r="J7" s="28" t="s">
        <v>119</v>
      </c>
      <c r="K7" s="23" t="s">
        <v>120</v>
      </c>
      <c r="L7" s="23"/>
      <c r="M7" s="32">
        <v>798</v>
      </c>
      <c r="N7" s="34">
        <v>225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 t="s">
        <v>29</v>
      </c>
      <c r="AC7" s="33" t="s">
        <v>29</v>
      </c>
      <c r="AD7" s="33" t="s">
        <v>29</v>
      </c>
      <c r="AE7" s="33">
        <v>60</v>
      </c>
      <c r="AF7" s="33" t="s">
        <v>29</v>
      </c>
      <c r="AG7" s="3">
        <f t="shared" si="0"/>
        <v>66</v>
      </c>
      <c r="AH7" s="34">
        <f t="shared" si="1"/>
        <v>1023</v>
      </c>
      <c r="AI7" s="24">
        <v>6</v>
      </c>
      <c r="AJ7" s="26"/>
    </row>
    <row r="8" spans="1:36" s="25" customFormat="1" ht="61.5" customHeight="1" x14ac:dyDescent="0.3">
      <c r="A8" s="40" t="s">
        <v>96</v>
      </c>
      <c r="B8" s="41"/>
      <c r="C8" s="41" t="s">
        <v>93</v>
      </c>
      <c r="D8" s="40" t="s">
        <v>105</v>
      </c>
      <c r="E8" s="40" t="s">
        <v>30</v>
      </c>
      <c r="F8" s="42" t="s">
        <v>106</v>
      </c>
      <c r="G8" s="43" t="s">
        <v>146</v>
      </c>
      <c r="H8" s="40" t="s">
        <v>118</v>
      </c>
      <c r="I8" s="40" t="s">
        <v>121</v>
      </c>
      <c r="J8" s="44" t="s">
        <v>119</v>
      </c>
      <c r="K8" s="40" t="s">
        <v>120</v>
      </c>
      <c r="L8" s="40"/>
      <c r="M8" s="45">
        <v>798</v>
      </c>
      <c r="N8" s="46">
        <v>225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 t="s">
        <v>29</v>
      </c>
      <c r="AC8" s="47" t="s">
        <v>29</v>
      </c>
      <c r="AD8" s="47" t="s">
        <v>29</v>
      </c>
      <c r="AE8" s="47">
        <v>60</v>
      </c>
      <c r="AF8" s="47" t="s">
        <v>29</v>
      </c>
      <c r="AG8" s="41">
        <f t="shared" si="0"/>
        <v>66</v>
      </c>
      <c r="AH8" s="46">
        <f t="shared" si="1"/>
        <v>1023</v>
      </c>
      <c r="AI8" s="24">
        <v>6</v>
      </c>
      <c r="AJ8" s="26"/>
    </row>
    <row r="9" spans="1:36" s="25" customFormat="1" ht="61.5" customHeight="1" x14ac:dyDescent="0.3">
      <c r="A9" s="40" t="s">
        <v>97</v>
      </c>
      <c r="B9" s="41"/>
      <c r="C9" s="41" t="s">
        <v>93</v>
      </c>
      <c r="D9" s="40" t="s">
        <v>107</v>
      </c>
      <c r="E9" s="40" t="s">
        <v>30</v>
      </c>
      <c r="F9" s="42" t="s">
        <v>106</v>
      </c>
      <c r="G9" s="43" t="s">
        <v>146</v>
      </c>
      <c r="H9" s="40" t="s">
        <v>118</v>
      </c>
      <c r="I9" s="40" t="s">
        <v>121</v>
      </c>
      <c r="J9" s="44" t="s">
        <v>119</v>
      </c>
      <c r="K9" s="40" t="s">
        <v>120</v>
      </c>
      <c r="L9" s="40"/>
      <c r="M9" s="45">
        <v>798</v>
      </c>
      <c r="N9" s="46">
        <v>225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 t="s">
        <v>29</v>
      </c>
      <c r="AC9" s="47" t="s">
        <v>29</v>
      </c>
      <c r="AD9" s="47" t="s">
        <v>29</v>
      </c>
      <c r="AE9" s="47">
        <v>60</v>
      </c>
      <c r="AF9" s="47" t="s">
        <v>29</v>
      </c>
      <c r="AG9" s="41">
        <f t="shared" si="0"/>
        <v>66</v>
      </c>
      <c r="AH9" s="46">
        <f t="shared" si="1"/>
        <v>1023</v>
      </c>
      <c r="AI9" s="24">
        <v>6</v>
      </c>
      <c r="AJ9" s="26"/>
    </row>
    <row r="10" spans="1:36" s="25" customFormat="1" ht="61.5" customHeight="1" x14ac:dyDescent="0.3">
      <c r="A10" s="40" t="s">
        <v>98</v>
      </c>
      <c r="B10" s="41"/>
      <c r="C10" s="41" t="s">
        <v>93</v>
      </c>
      <c r="D10" s="40" t="s">
        <v>101</v>
      </c>
      <c r="E10" s="40" t="s">
        <v>30</v>
      </c>
      <c r="F10" s="42" t="s">
        <v>100</v>
      </c>
      <c r="G10" s="43" t="s">
        <v>146</v>
      </c>
      <c r="H10" s="40" t="s">
        <v>118</v>
      </c>
      <c r="I10" s="40" t="s">
        <v>121</v>
      </c>
      <c r="J10" s="44" t="s">
        <v>119</v>
      </c>
      <c r="K10" s="40" t="s">
        <v>120</v>
      </c>
      <c r="L10" s="40"/>
      <c r="M10" s="45">
        <v>798</v>
      </c>
      <c r="N10" s="46">
        <v>225</v>
      </c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 t="s">
        <v>29</v>
      </c>
      <c r="AC10" s="47" t="s">
        <v>29</v>
      </c>
      <c r="AD10" s="47" t="s">
        <v>29</v>
      </c>
      <c r="AE10" s="47" t="s">
        <v>29</v>
      </c>
      <c r="AF10" s="47" t="s">
        <v>29</v>
      </c>
      <c r="AG10" s="41">
        <f t="shared" si="0"/>
        <v>66</v>
      </c>
      <c r="AH10" s="46">
        <f t="shared" si="1"/>
        <v>1023</v>
      </c>
      <c r="AI10" s="24">
        <v>6</v>
      </c>
      <c r="AJ10" s="26"/>
    </row>
    <row r="11" spans="1:36" s="25" customFormat="1" ht="61.5" customHeight="1" x14ac:dyDescent="0.3">
      <c r="A11" s="23" t="s">
        <v>65</v>
      </c>
      <c r="B11" s="30"/>
      <c r="C11" s="30" t="s">
        <v>69</v>
      </c>
      <c r="D11" s="23" t="s">
        <v>71</v>
      </c>
      <c r="E11" s="23" t="s">
        <v>75</v>
      </c>
      <c r="F11" s="31" t="s">
        <v>78</v>
      </c>
      <c r="G11" s="38" t="s">
        <v>87</v>
      </c>
      <c r="H11" s="23" t="s">
        <v>88</v>
      </c>
      <c r="I11" s="23" t="s">
        <v>89</v>
      </c>
      <c r="J11" s="28" t="s">
        <v>90</v>
      </c>
      <c r="K11" s="23" t="s">
        <v>91</v>
      </c>
      <c r="L11" s="23"/>
      <c r="M11" s="32">
        <v>1399</v>
      </c>
      <c r="N11" s="34">
        <v>355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 t="s">
        <v>29</v>
      </c>
      <c r="AB11" s="33" t="s">
        <v>29</v>
      </c>
      <c r="AC11" s="33" t="s">
        <v>29</v>
      </c>
      <c r="AD11" s="33">
        <v>207</v>
      </c>
      <c r="AE11" s="33">
        <v>506</v>
      </c>
      <c r="AF11" s="33">
        <f>SUM(AI11*23)</f>
        <v>138</v>
      </c>
      <c r="AG11" s="3">
        <f>SUM(97+AI11)</f>
        <v>103</v>
      </c>
      <c r="AH11" s="34">
        <f>(M11+AD11+AF11+AE11+N11)</f>
        <v>2605</v>
      </c>
      <c r="AI11" s="24">
        <v>6</v>
      </c>
      <c r="AJ11" s="26"/>
    </row>
    <row r="12" spans="1:36" s="25" customFormat="1" ht="61.5" customHeight="1" x14ac:dyDescent="0.3">
      <c r="A12" s="23" t="s">
        <v>66</v>
      </c>
      <c r="B12" s="30"/>
      <c r="C12" s="30" t="s">
        <v>69</v>
      </c>
      <c r="D12" s="23" t="s">
        <v>73</v>
      </c>
      <c r="E12" s="23" t="s">
        <v>76</v>
      </c>
      <c r="F12" s="31" t="s">
        <v>78</v>
      </c>
      <c r="G12" s="38" t="s">
        <v>87</v>
      </c>
      <c r="H12" s="23" t="s">
        <v>88</v>
      </c>
      <c r="I12" s="23" t="s">
        <v>89</v>
      </c>
      <c r="J12" s="28" t="s">
        <v>90</v>
      </c>
      <c r="K12" s="23" t="s">
        <v>91</v>
      </c>
      <c r="L12" s="23"/>
      <c r="M12" s="32">
        <v>1399</v>
      </c>
      <c r="N12" s="34">
        <v>355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 t="s">
        <v>29</v>
      </c>
      <c r="AB12" s="33" t="s">
        <v>29</v>
      </c>
      <c r="AC12" s="33" t="s">
        <v>29</v>
      </c>
      <c r="AD12" s="33">
        <v>207</v>
      </c>
      <c r="AE12" s="33">
        <v>506</v>
      </c>
      <c r="AF12" s="33">
        <f>SUM(AI12*23)</f>
        <v>138</v>
      </c>
      <c r="AG12" s="3">
        <f>SUM(97+AI12)</f>
        <v>103</v>
      </c>
      <c r="AH12" s="34">
        <f>(M12+AD12+AF12+AE12+N12)</f>
        <v>2605</v>
      </c>
      <c r="AI12" s="24">
        <v>6</v>
      </c>
      <c r="AJ12" s="26"/>
    </row>
    <row r="13" spans="1:36" s="25" customFormat="1" ht="61.5" customHeight="1" x14ac:dyDescent="0.3">
      <c r="A13" s="23" t="s">
        <v>67</v>
      </c>
      <c r="B13" s="30"/>
      <c r="C13" s="30" t="s">
        <v>69</v>
      </c>
      <c r="D13" s="23" t="s">
        <v>72</v>
      </c>
      <c r="E13" s="23" t="s">
        <v>77</v>
      </c>
      <c r="F13" s="31" t="s">
        <v>78</v>
      </c>
      <c r="G13" s="38" t="s">
        <v>87</v>
      </c>
      <c r="H13" s="23" t="s">
        <v>88</v>
      </c>
      <c r="I13" s="23" t="s">
        <v>89</v>
      </c>
      <c r="J13" s="28" t="s">
        <v>90</v>
      </c>
      <c r="K13" s="23" t="s">
        <v>91</v>
      </c>
      <c r="L13" s="23"/>
      <c r="M13" s="32">
        <v>1399</v>
      </c>
      <c r="N13" s="34">
        <v>355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 t="s">
        <v>29</v>
      </c>
      <c r="AB13" s="33" t="s">
        <v>29</v>
      </c>
      <c r="AC13" s="33" t="s">
        <v>29</v>
      </c>
      <c r="AD13" s="33">
        <v>207</v>
      </c>
      <c r="AE13" s="33">
        <v>506</v>
      </c>
      <c r="AF13" s="33">
        <f>SUM(AI13*23)</f>
        <v>138</v>
      </c>
      <c r="AG13" s="3">
        <f>SUM(97+AI13)</f>
        <v>103</v>
      </c>
      <c r="AH13" s="34">
        <f>(M13+AD13+AF13+AE13+N13)</f>
        <v>2605</v>
      </c>
      <c r="AI13" s="24">
        <v>6</v>
      </c>
      <c r="AJ13" s="26"/>
    </row>
    <row r="14" spans="1:36" s="25" customFormat="1" ht="61.5" customHeight="1" x14ac:dyDescent="0.3">
      <c r="A14" s="23" t="s">
        <v>68</v>
      </c>
      <c r="B14" s="30"/>
      <c r="C14" s="30" t="s">
        <v>69</v>
      </c>
      <c r="D14" s="23" t="s">
        <v>70</v>
      </c>
      <c r="E14" s="23" t="s">
        <v>74</v>
      </c>
      <c r="F14" s="31" t="s">
        <v>78</v>
      </c>
      <c r="G14" s="38" t="s">
        <v>87</v>
      </c>
      <c r="H14" s="23" t="s">
        <v>88</v>
      </c>
      <c r="I14" s="23" t="s">
        <v>89</v>
      </c>
      <c r="J14" s="28" t="s">
        <v>90</v>
      </c>
      <c r="K14" s="23" t="s">
        <v>91</v>
      </c>
      <c r="L14" s="23"/>
      <c r="M14" s="32">
        <v>1399</v>
      </c>
      <c r="N14" s="34">
        <v>355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 t="s">
        <v>29</v>
      </c>
      <c r="AB14" s="33" t="s">
        <v>29</v>
      </c>
      <c r="AC14" s="33" t="s">
        <v>29</v>
      </c>
      <c r="AD14" s="33">
        <v>207</v>
      </c>
      <c r="AE14" s="33">
        <v>506</v>
      </c>
      <c r="AF14" s="33">
        <f>SUM(AI14*23)</f>
        <v>138</v>
      </c>
      <c r="AG14" s="3">
        <f>SUM(97+AI14)</f>
        <v>103</v>
      </c>
      <c r="AH14" s="34">
        <f>(M14+AD14+AF14+AE14+N14)</f>
        <v>2605</v>
      </c>
      <c r="AI14" s="24">
        <v>6</v>
      </c>
      <c r="AJ14" s="26"/>
    </row>
    <row r="15" spans="1:36" s="25" customFormat="1" ht="61.5" customHeight="1" x14ac:dyDescent="0.3">
      <c r="A15" s="23" t="s">
        <v>56</v>
      </c>
      <c r="B15" s="30"/>
      <c r="C15" s="30" t="s">
        <v>57</v>
      </c>
      <c r="D15" s="23" t="s">
        <v>58</v>
      </c>
      <c r="E15" s="23" t="s">
        <v>59</v>
      </c>
      <c r="F15" s="31" t="s">
        <v>60</v>
      </c>
      <c r="G15" s="38" t="s">
        <v>87</v>
      </c>
      <c r="H15" s="23" t="s">
        <v>84</v>
      </c>
      <c r="I15" s="23" t="s">
        <v>86</v>
      </c>
      <c r="J15" s="28" t="s">
        <v>47</v>
      </c>
      <c r="K15" s="23" t="s">
        <v>85</v>
      </c>
      <c r="L15" s="23"/>
      <c r="M15" s="32">
        <v>853</v>
      </c>
      <c r="N15" s="34">
        <v>295</v>
      </c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 t="s">
        <v>29</v>
      </c>
      <c r="Z15" s="33" t="s">
        <v>61</v>
      </c>
      <c r="AA15" s="33" t="s">
        <v>29</v>
      </c>
      <c r="AB15" s="33" t="s">
        <v>29</v>
      </c>
      <c r="AC15" s="33" t="s">
        <v>29</v>
      </c>
      <c r="AD15" s="33">
        <v>529</v>
      </c>
      <c r="AE15" s="33">
        <v>644</v>
      </c>
      <c r="AF15" s="33">
        <f>SUM(AI15*23)</f>
        <v>138</v>
      </c>
      <c r="AG15" s="3">
        <f>SUM(110+AI15)</f>
        <v>116</v>
      </c>
      <c r="AH15" s="34">
        <f>(M15+AD15+AF15+AE15+N15)</f>
        <v>2459</v>
      </c>
      <c r="AI15" s="24">
        <v>6</v>
      </c>
      <c r="AJ15" s="26"/>
    </row>
    <row r="16" spans="1:36" s="25" customFormat="1" ht="61.5" customHeight="1" x14ac:dyDescent="0.3">
      <c r="A16" s="23" t="s">
        <v>80</v>
      </c>
      <c r="B16" s="30"/>
      <c r="C16" s="30" t="s">
        <v>69</v>
      </c>
      <c r="D16" s="23" t="s">
        <v>81</v>
      </c>
      <c r="E16" s="23" t="s">
        <v>82</v>
      </c>
      <c r="F16" s="31" t="s">
        <v>83</v>
      </c>
      <c r="G16" s="38" t="s">
        <v>87</v>
      </c>
      <c r="H16" s="23" t="s">
        <v>113</v>
      </c>
      <c r="I16" s="23" t="s">
        <v>117</v>
      </c>
      <c r="J16" s="28" t="s">
        <v>114</v>
      </c>
      <c r="K16" s="23" t="s">
        <v>115</v>
      </c>
      <c r="L16" s="23"/>
      <c r="M16" s="32">
        <v>1399</v>
      </c>
      <c r="N16" s="34">
        <v>295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 t="s">
        <v>29</v>
      </c>
      <c r="Z16" s="33" t="s">
        <v>61</v>
      </c>
      <c r="AA16" s="33" t="s">
        <v>29</v>
      </c>
      <c r="AB16" s="33" t="s">
        <v>29</v>
      </c>
      <c r="AC16" s="33" t="s">
        <v>29</v>
      </c>
      <c r="AD16" s="33" t="s">
        <v>29</v>
      </c>
      <c r="AE16" s="33">
        <v>230</v>
      </c>
      <c r="AF16" s="33" t="s">
        <v>29</v>
      </c>
      <c r="AG16" s="3">
        <f>SUM(83+AI16)</f>
        <v>89</v>
      </c>
      <c r="AH16" s="34">
        <f>(M16+N16+AE16)</f>
        <v>1924</v>
      </c>
      <c r="AI16" s="24">
        <v>6</v>
      </c>
      <c r="AJ16" s="26"/>
    </row>
    <row r="17" spans="1:75" s="25" customFormat="1" ht="61.5" customHeight="1" x14ac:dyDescent="0.3">
      <c r="A17" s="23" t="s">
        <v>123</v>
      </c>
      <c r="B17" s="30"/>
      <c r="C17" s="30" t="s">
        <v>93</v>
      </c>
      <c r="D17" s="23" t="s">
        <v>126</v>
      </c>
      <c r="E17" s="23" t="s">
        <v>128</v>
      </c>
      <c r="F17" s="31" t="s">
        <v>125</v>
      </c>
      <c r="G17" s="38" t="s">
        <v>138</v>
      </c>
      <c r="H17" s="23" t="s">
        <v>134</v>
      </c>
      <c r="I17" s="23" t="s">
        <v>139</v>
      </c>
      <c r="J17" s="28" t="s">
        <v>135</v>
      </c>
      <c r="K17" s="23" t="s">
        <v>136</v>
      </c>
      <c r="L17" s="23"/>
      <c r="M17" s="32">
        <v>798</v>
      </c>
      <c r="N17" s="34">
        <v>225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 t="s">
        <v>29</v>
      </c>
      <c r="AD17" s="33" t="s">
        <v>29</v>
      </c>
      <c r="AE17" s="33" t="s">
        <v>29</v>
      </c>
      <c r="AF17" s="33" t="s">
        <v>29</v>
      </c>
      <c r="AG17" s="3">
        <f>SUM(26+AI17)</f>
        <v>32</v>
      </c>
      <c r="AH17" s="34">
        <f>(M17+N17)</f>
        <v>1023</v>
      </c>
      <c r="AI17" s="24">
        <v>6</v>
      </c>
      <c r="AJ17" s="26"/>
    </row>
    <row r="18" spans="1:75" s="25" customFormat="1" ht="61.5" customHeight="1" x14ac:dyDescent="0.3">
      <c r="A18" s="23" t="s">
        <v>124</v>
      </c>
      <c r="B18" s="30"/>
      <c r="C18" s="30" t="s">
        <v>93</v>
      </c>
      <c r="D18" s="23" t="s">
        <v>127</v>
      </c>
      <c r="E18" s="23" t="s">
        <v>129</v>
      </c>
      <c r="F18" s="31" t="s">
        <v>125</v>
      </c>
      <c r="G18" s="38" t="s">
        <v>138</v>
      </c>
      <c r="H18" s="23" t="s">
        <v>134</v>
      </c>
      <c r="I18" s="23" t="s">
        <v>139</v>
      </c>
      <c r="J18" s="28" t="s">
        <v>135</v>
      </c>
      <c r="K18" s="23" t="s">
        <v>135</v>
      </c>
      <c r="L18" s="23"/>
      <c r="M18" s="32">
        <v>798</v>
      </c>
      <c r="N18" s="34">
        <v>225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 t="s">
        <v>29</v>
      </c>
      <c r="AD18" s="33" t="s">
        <v>29</v>
      </c>
      <c r="AE18" s="33" t="s">
        <v>29</v>
      </c>
      <c r="AF18" s="33" t="s">
        <v>29</v>
      </c>
      <c r="AG18" s="3">
        <f>SUM(26+AI18)</f>
        <v>32</v>
      </c>
      <c r="AH18" s="34">
        <f t="shared" ref="AH18:AH19" si="2">(M18+N18)</f>
        <v>1023</v>
      </c>
      <c r="AI18" s="24">
        <v>6</v>
      </c>
      <c r="AJ18" s="26"/>
    </row>
    <row r="19" spans="1:75" s="25" customFormat="1" ht="61.5" customHeight="1" x14ac:dyDescent="0.3">
      <c r="A19" s="23" t="s">
        <v>130</v>
      </c>
      <c r="B19" s="30"/>
      <c r="C19" s="30" t="s">
        <v>116</v>
      </c>
      <c r="D19" s="23" t="s">
        <v>131</v>
      </c>
      <c r="E19" s="23" t="s">
        <v>132</v>
      </c>
      <c r="F19" s="31" t="s">
        <v>133</v>
      </c>
      <c r="G19" s="38" t="s">
        <v>138</v>
      </c>
      <c r="H19" s="23" t="s">
        <v>140</v>
      </c>
      <c r="I19" s="23" t="s">
        <v>141</v>
      </c>
      <c r="J19" s="28" t="s">
        <v>142</v>
      </c>
      <c r="K19" s="23" t="s">
        <v>143</v>
      </c>
      <c r="L19" s="23"/>
      <c r="M19" s="32">
        <v>1160</v>
      </c>
      <c r="N19" s="34">
        <v>295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 t="s">
        <v>29</v>
      </c>
      <c r="AC19" s="33" t="s">
        <v>29</v>
      </c>
      <c r="AD19" s="33" t="s">
        <v>29</v>
      </c>
      <c r="AE19" s="33" t="s">
        <v>29</v>
      </c>
      <c r="AF19" s="33" t="s">
        <v>29</v>
      </c>
      <c r="AG19" s="3">
        <f>SUM(12+AI19)</f>
        <v>18</v>
      </c>
      <c r="AH19" s="34">
        <f t="shared" si="2"/>
        <v>1455</v>
      </c>
      <c r="AI19" s="24">
        <v>6</v>
      </c>
      <c r="AJ19" s="26"/>
    </row>
    <row r="20" spans="1:75" x14ac:dyDescent="0.3">
      <c r="AG20" s="35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spans="1:75" x14ac:dyDescent="0.3"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spans="1:75" x14ac:dyDescent="0.3"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spans="1:75" x14ac:dyDescent="0.3"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063C-737F-4630-BD5A-20C7E3E95A9B}">
  <dimension ref="A1:O15"/>
  <sheetViews>
    <sheetView workbookViewId="0">
      <selection activeCell="A5" sqref="A5"/>
    </sheetView>
  </sheetViews>
  <sheetFormatPr defaultRowHeight="14.4" x14ac:dyDescent="0.3"/>
  <cols>
    <col min="1" max="1" width="13" customWidth="1"/>
    <col min="2" max="2" width="27.6640625" customWidth="1"/>
    <col min="3" max="3" width="24.88671875" customWidth="1"/>
    <col min="4" max="4" width="11.88671875" customWidth="1"/>
    <col min="5" max="5" width="11.33203125" customWidth="1"/>
    <col min="6" max="6" width="11.109375" customWidth="1"/>
    <col min="7" max="7" width="34.88671875" customWidth="1"/>
    <col min="8" max="8" width="25.33203125" customWidth="1"/>
    <col min="9" max="9" width="23.33203125" customWidth="1"/>
    <col min="10" max="12" width="0" hidden="1" customWidth="1"/>
    <col min="13" max="14" width="19" hidden="1" customWidth="1"/>
    <col min="15" max="15" width="18.44140625" hidden="1" customWidth="1"/>
  </cols>
  <sheetData>
    <row r="1" spans="1:15" ht="129" customHeight="1" x14ac:dyDescent="0.3">
      <c r="A1" s="5"/>
      <c r="B1" s="1"/>
      <c r="C1" s="1"/>
      <c r="D1" s="1"/>
      <c r="E1" s="1"/>
      <c r="F1" s="4"/>
      <c r="G1" s="1"/>
      <c r="H1" s="1"/>
      <c r="I1" s="1"/>
      <c r="J1" s="1"/>
      <c r="K1" s="2"/>
      <c r="L1" s="1"/>
      <c r="M1" s="1"/>
      <c r="N1" s="1"/>
      <c r="O1" s="1"/>
    </row>
    <row r="2" spans="1:15" s="6" customFormat="1" ht="61.5" customHeight="1" x14ac:dyDescent="0.3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 t="s">
        <v>23</v>
      </c>
      <c r="G2" s="7" t="s">
        <v>24</v>
      </c>
      <c r="H2" s="7" t="s">
        <v>17</v>
      </c>
      <c r="I2" s="7" t="s">
        <v>25</v>
      </c>
      <c r="J2" s="7" t="s">
        <v>1</v>
      </c>
      <c r="K2" s="7" t="s">
        <v>2</v>
      </c>
      <c r="L2" s="7" t="s">
        <v>7</v>
      </c>
      <c r="M2" s="7" t="s">
        <v>3</v>
      </c>
      <c r="N2" s="7" t="s">
        <v>10</v>
      </c>
      <c r="O2" s="7" t="s">
        <v>16</v>
      </c>
    </row>
    <row r="3" spans="1:15" ht="52.5" customHeight="1" x14ac:dyDescent="0.3">
      <c r="A3" s="12"/>
      <c r="B3" s="13"/>
      <c r="C3" s="16"/>
      <c r="D3" s="13"/>
      <c r="E3" s="13"/>
      <c r="F3" s="13"/>
      <c r="G3" s="17"/>
      <c r="H3" s="18"/>
      <c r="I3" s="15"/>
      <c r="J3" s="9"/>
      <c r="K3" s="9"/>
      <c r="L3" s="9"/>
      <c r="M3" s="9"/>
      <c r="N3" s="3"/>
      <c r="O3" s="10"/>
    </row>
    <row r="4" spans="1:15" ht="52.5" customHeight="1" x14ac:dyDescent="0.3">
      <c r="A4" s="12"/>
      <c r="B4" s="13"/>
      <c r="C4" s="16"/>
      <c r="D4" s="13"/>
      <c r="E4" s="13"/>
      <c r="F4" s="13"/>
      <c r="G4" s="14"/>
      <c r="H4" s="14"/>
      <c r="I4" s="15"/>
      <c r="J4" s="9"/>
      <c r="K4" s="9"/>
      <c r="L4" s="9"/>
      <c r="M4" s="9"/>
      <c r="N4" s="3"/>
      <c r="O4" s="10"/>
    </row>
    <row r="5" spans="1:15" ht="52.5" customHeight="1" x14ac:dyDescent="0.3">
      <c r="A5" s="12"/>
      <c r="B5" s="13"/>
      <c r="C5" s="16"/>
      <c r="D5" s="13"/>
      <c r="E5" s="13"/>
      <c r="F5" s="13"/>
      <c r="G5" s="14"/>
      <c r="H5" s="14"/>
      <c r="I5" s="15"/>
      <c r="J5" s="9"/>
      <c r="K5" s="9"/>
      <c r="L5" s="9"/>
      <c r="M5" s="9"/>
      <c r="N5" s="3"/>
      <c r="O5" s="10"/>
    </row>
    <row r="6" spans="1:15" ht="52.5" customHeight="1" x14ac:dyDescent="0.3">
      <c r="A6" s="12"/>
      <c r="B6" s="13"/>
      <c r="C6" s="16"/>
      <c r="D6" s="13"/>
      <c r="E6" s="13"/>
      <c r="F6" s="13"/>
      <c r="G6" s="14"/>
      <c r="H6" s="14"/>
      <c r="I6" s="15"/>
      <c r="J6" s="9"/>
      <c r="K6" s="9"/>
      <c r="L6" s="9"/>
      <c r="M6" s="9"/>
      <c r="N6" s="3"/>
      <c r="O6" s="10"/>
    </row>
    <row r="7" spans="1:15" ht="52.5" customHeight="1" x14ac:dyDescent="0.3">
      <c r="A7" s="12"/>
      <c r="B7" s="13"/>
      <c r="C7" s="16"/>
      <c r="D7" s="13"/>
      <c r="E7" s="13"/>
      <c r="F7" s="13"/>
      <c r="G7" s="14"/>
      <c r="H7" s="19"/>
      <c r="I7" s="15"/>
      <c r="J7" s="9"/>
      <c r="K7" s="9"/>
      <c r="L7" s="9"/>
      <c r="M7" s="9"/>
      <c r="N7" s="3"/>
      <c r="O7" s="10"/>
    </row>
    <row r="8" spans="1:15" ht="52.5" customHeight="1" x14ac:dyDescent="0.3">
      <c r="A8" s="12"/>
      <c r="B8" s="13"/>
      <c r="C8" s="16"/>
      <c r="D8" s="13"/>
      <c r="E8" s="13"/>
      <c r="F8" s="13"/>
      <c r="G8" s="14"/>
      <c r="H8" s="19"/>
      <c r="I8" s="15"/>
      <c r="J8" s="9"/>
      <c r="K8" s="9"/>
      <c r="L8" s="9"/>
      <c r="M8" s="9"/>
      <c r="N8" s="3"/>
      <c r="O8" s="10"/>
    </row>
    <row r="9" spans="1:15" ht="52.5" customHeight="1" x14ac:dyDescent="0.3">
      <c r="A9" s="14"/>
      <c r="B9" s="13"/>
      <c r="C9" s="14"/>
      <c r="D9" s="13"/>
      <c r="E9" s="13"/>
      <c r="F9" s="13"/>
      <c r="G9" s="14"/>
      <c r="H9" s="14"/>
      <c r="I9" s="15"/>
      <c r="J9" s="9"/>
      <c r="K9" s="9"/>
      <c r="L9" s="9"/>
      <c r="M9" s="9"/>
      <c r="N9" s="3"/>
      <c r="O9" s="10"/>
    </row>
    <row r="10" spans="1:15" ht="52.5" customHeight="1" x14ac:dyDescent="0.3">
      <c r="A10" s="14"/>
      <c r="B10" s="13"/>
      <c r="C10" s="14"/>
      <c r="D10" s="13"/>
      <c r="E10" s="13"/>
      <c r="F10" s="13"/>
      <c r="G10" s="14"/>
      <c r="H10" s="14"/>
      <c r="I10" s="15"/>
      <c r="J10" s="9"/>
      <c r="K10" s="9"/>
      <c r="L10" s="9"/>
      <c r="M10" s="9"/>
      <c r="N10" s="3"/>
      <c r="O10" s="10"/>
    </row>
    <row r="11" spans="1:15" ht="52.5" customHeight="1" x14ac:dyDescent="0.3">
      <c r="A11" s="14"/>
      <c r="B11" s="13"/>
      <c r="C11" s="14"/>
      <c r="D11" s="13"/>
      <c r="E11" s="13"/>
      <c r="F11" s="13"/>
      <c r="G11" s="14"/>
      <c r="H11" s="14"/>
      <c r="I11" s="15"/>
      <c r="J11" s="9"/>
      <c r="K11" s="9"/>
      <c r="L11" s="9"/>
      <c r="M11" s="9"/>
      <c r="N11" s="3"/>
      <c r="O11" s="10"/>
    </row>
    <row r="12" spans="1:15" ht="52.5" customHeight="1" x14ac:dyDescent="0.3">
      <c r="A12" s="14"/>
      <c r="B12" s="13"/>
      <c r="C12" s="14"/>
      <c r="D12" s="13"/>
      <c r="E12" s="13"/>
      <c r="F12" s="13"/>
      <c r="G12" s="14"/>
      <c r="H12" s="14"/>
      <c r="I12" s="15"/>
      <c r="J12" s="9"/>
      <c r="K12" s="9"/>
      <c r="L12" s="9"/>
      <c r="M12" s="9"/>
      <c r="N12" s="3"/>
      <c r="O12" s="10"/>
    </row>
    <row r="13" spans="1:15" ht="52.5" customHeight="1" x14ac:dyDescent="0.3">
      <c r="A13" s="14"/>
      <c r="B13" s="13"/>
      <c r="C13" s="14"/>
      <c r="D13" s="13"/>
      <c r="E13" s="13"/>
      <c r="F13" s="13"/>
      <c r="G13" s="14"/>
      <c r="H13" s="14"/>
      <c r="I13" s="15"/>
      <c r="J13" s="9"/>
      <c r="K13" s="9"/>
      <c r="L13" s="9"/>
      <c r="M13" s="9"/>
      <c r="N13" s="3"/>
      <c r="O13" s="10"/>
    </row>
    <row r="14" spans="1:15" ht="52.5" customHeight="1" x14ac:dyDescent="0.3">
      <c r="A14" s="14"/>
      <c r="B14" s="13"/>
      <c r="C14" s="14"/>
      <c r="D14" s="13"/>
      <c r="E14" s="13"/>
      <c r="F14" s="13"/>
      <c r="G14" s="14"/>
      <c r="H14" s="14"/>
      <c r="I14" s="15"/>
      <c r="J14" s="9"/>
      <c r="K14" s="9"/>
      <c r="L14" s="9"/>
      <c r="M14" s="9"/>
      <c r="N14" s="3"/>
      <c r="O14" s="10"/>
    </row>
    <row r="15" spans="1:15" x14ac:dyDescent="0.3">
      <c r="G15" s="1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D2B5AB4C-6615-4E00-B034-E0C3E2C01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3232EE-B87C-4F0D-92A3-E1CE578A46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92F365-360D-4378-BBB1-D0819BCD2B0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FML BONDED FACILITY </vt:lpstr>
      <vt:lpstr>NEW ARRIVALS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Annatjie Koekemoer</cp:lastModifiedBy>
  <dcterms:created xsi:type="dcterms:W3CDTF">2019-03-20T08:55:47Z</dcterms:created>
  <dcterms:modified xsi:type="dcterms:W3CDTF">2026-03-06T07:15:46Z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