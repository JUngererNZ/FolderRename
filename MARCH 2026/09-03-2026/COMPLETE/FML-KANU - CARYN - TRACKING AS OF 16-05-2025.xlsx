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Y 2025/16-05-2025/"/>
    </mc:Choice>
  </mc:AlternateContent>
  <xr:revisionPtr revIDLastSave="12" documentId="13_ncr:1_{A9BE9707-DE25-40BE-BF79-F35CE50842EA}" xr6:coauthVersionLast="47" xr6:coauthVersionMax="47" xr10:uidLastSave="{76390B90-1B22-4DCE-8A14-56663B834EB1}"/>
  <bookViews>
    <workbookView xWindow="28680" yWindow="-120" windowWidth="29040" windowHeight="15720" xr2:uid="{2397AE24-248E-40B3-950D-2F0DA5313C9C}"/>
  </bookViews>
  <sheets>
    <sheet name="CURRENT SHIPMENTS " sheetId="1" r:id="rId1"/>
    <sheet name="OFFLOADE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9" i="2" l="1"/>
  <c r="Z19" i="2"/>
  <c r="AB19" i="2" s="1"/>
  <c r="AA18" i="2"/>
  <c r="Z18" i="2"/>
  <c r="AB18" i="2" s="1"/>
  <c r="Z8" i="1"/>
  <c r="Y8" i="1"/>
  <c r="AA8" i="1" s="1"/>
  <c r="W17" i="2"/>
  <c r="V17" i="2"/>
  <c r="W16" i="2"/>
  <c r="V16" i="2"/>
  <c r="W15" i="2"/>
  <c r="V15" i="2"/>
  <c r="V14" i="2"/>
  <c r="U14" i="2"/>
  <c r="V13" i="2" l="1"/>
  <c r="U12" i="2"/>
  <c r="T11" i="2"/>
  <c r="S11" i="2"/>
  <c r="T10" i="2"/>
  <c r="T9" i="2"/>
</calcChain>
</file>

<file path=xl/sharedStrings.xml><?xml version="1.0" encoding="utf-8"?>
<sst xmlns="http://schemas.openxmlformats.org/spreadsheetml/2006/main" count="911" uniqueCount="316">
  <si>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</si>
  <si>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</si>
  <si>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</si>
  <si>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</si>
  <si>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</si>
  <si>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</si>
  <si>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</si>
  <si>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</si>
  <si>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</si>
  <si>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</si>
  <si>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</si>
  <si>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</si>
  <si>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</si>
  <si>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</si>
  <si>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</si>
  <si>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</si>
  <si>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</si>
  <si>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</si>
  <si>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</si>
  <si>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</si>
  <si>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</si>
  <si>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</si>
  <si>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</si>
  <si>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CLIENT INVOICE NR</t>
  </si>
  <si>
    <t>COMMENTS 08-08-2024</t>
  </si>
  <si>
    <t>J45 JAW CRUSHER</t>
  </si>
  <si>
    <t>McCLOSKEY / KANU EQUIPMENT</t>
  </si>
  <si>
    <t>R155 APRON</t>
  </si>
  <si>
    <t>SCREENER S190 3DT</t>
  </si>
  <si>
    <t>AWAITING VESSEL DETAILS AND BILL - ESTIMATED ARRIVAL AT DURBAN PORT 10-09-2024</t>
  </si>
  <si>
    <t>COMMENTS 09-08-2024</t>
  </si>
  <si>
    <t>COMMENTS 12-08-2024</t>
  </si>
  <si>
    <t>COMMENTS 13-08-2024</t>
  </si>
  <si>
    <t>COMMENTS 14-08-2024</t>
  </si>
  <si>
    <t>COMMENTS 15-08-2024</t>
  </si>
  <si>
    <t>COMMENTS 16-08-2024</t>
  </si>
  <si>
    <t>COMMENTS 19-08-2024</t>
  </si>
  <si>
    <t>COMMENTS 20-08-2024</t>
  </si>
  <si>
    <t>COMMENTS 21-08-2024</t>
  </si>
  <si>
    <t>COMMENTS 22-08-2024</t>
  </si>
  <si>
    <t>COMMENTS 23-08-2024</t>
  </si>
  <si>
    <t>COMMENTS 26-08-2024</t>
  </si>
  <si>
    <t>COMMENTS 27-08-2024</t>
  </si>
  <si>
    <t>AWAITING VESSEL DETAILS AND BILL - VESSEL DELAYED AT POL</t>
  </si>
  <si>
    <t>COMMENTS 28-08-2024</t>
  </si>
  <si>
    <t>COMMENTS 29-08-2024</t>
  </si>
  <si>
    <t>COMMENTS 30-08-2024</t>
  </si>
  <si>
    <t>COMMENTS 02-09-2024</t>
  </si>
  <si>
    <t>C2C CRUSHER</t>
  </si>
  <si>
    <t>AWAITING VESSEL DETAILS AND BILL</t>
  </si>
  <si>
    <t>AWAITING VESSEL ARRIVAL - ETA DURBAN: 20-09-2024</t>
  </si>
  <si>
    <t>COMMENTS 03-09-2024</t>
  </si>
  <si>
    <t>COMMENTS 04-09-2024</t>
  </si>
  <si>
    <t>COMMENTS 05-09-2024</t>
  </si>
  <si>
    <t>COMMENTS 06-09-2024</t>
  </si>
  <si>
    <t>COMMENTS 09-09-2024</t>
  </si>
  <si>
    <t>AWAITING VESSEL ARRIVAL - ETA DURBAN: 24-09-2024</t>
  </si>
  <si>
    <t>COMMENTS 10-09-2024</t>
  </si>
  <si>
    <t>COMMENTS 11-09-2024</t>
  </si>
  <si>
    <t>COMMENTS 12-09-2024</t>
  </si>
  <si>
    <t>COMMENTS 13-09-2024</t>
  </si>
  <si>
    <t>COMMENTS 16-09-2024</t>
  </si>
  <si>
    <t>2409DSI2575</t>
  </si>
  <si>
    <t>2409DSI2576</t>
  </si>
  <si>
    <t>2409DSI2577</t>
  </si>
  <si>
    <t>2409DSI2578</t>
  </si>
  <si>
    <t>R105 SCREENER</t>
  </si>
  <si>
    <t>SIN2409S3301710</t>
  </si>
  <si>
    <t>SIN2409S3301708</t>
  </si>
  <si>
    <t>SIN2409S3301709</t>
  </si>
  <si>
    <t>SIN2409S3301707</t>
  </si>
  <si>
    <t>COMMENTS 17-09-2024</t>
  </si>
  <si>
    <t>DRAFT BILL RECEIVED - ETA DURBAN 27-09-2024</t>
  </si>
  <si>
    <t>COMMENTS 18-09-2024</t>
  </si>
  <si>
    <t>2409DSI2591</t>
  </si>
  <si>
    <t>2409DSI2592</t>
  </si>
  <si>
    <t>2409DSI2593</t>
  </si>
  <si>
    <t>2409DSI2594</t>
  </si>
  <si>
    <t>VESSEL: HOEGH TRIGGER Voy. 52 - ETA DURBAN: 05-10-2024</t>
  </si>
  <si>
    <t>DRAFT BILL RECEIVED - ETA DURBAN 05-10-2024</t>
  </si>
  <si>
    <t>COMMENTS 19-09-2024</t>
  </si>
  <si>
    <t>AWAITING VESSEL ARRIVAL - ETA DURBAN: 23-09-2024</t>
  </si>
  <si>
    <t>COMMENTS 20-09-2024</t>
  </si>
  <si>
    <t>COMMENTS 23-09-2024</t>
  </si>
  <si>
    <t>VESSEL: WISTERIA ACE Voy. 0134A - ETA DURBAN: 24-09-2024</t>
  </si>
  <si>
    <t>DRAFT BILL RECEIVED - ETA DURBAN 28-09-2024</t>
  </si>
  <si>
    <t xml:space="preserve">VESSEL ARRIVED AND CURRENTLY WORKING </t>
  </si>
  <si>
    <t>24-09-2024</t>
  </si>
  <si>
    <t>ND706431</t>
  </si>
  <si>
    <t>ND760424 / ND760428</t>
  </si>
  <si>
    <t>COMMENTS 25-09-2024</t>
  </si>
  <si>
    <t>COMMENTS 26-09-2024</t>
  </si>
  <si>
    <t>UNIT TO BE COLLECTED FROM PORT TODAY</t>
  </si>
  <si>
    <t>SIN2409S3301722</t>
  </si>
  <si>
    <t>SIN2409S3301721</t>
  </si>
  <si>
    <t>SIN2409S3301724</t>
  </si>
  <si>
    <t>COMMENTS 27-09-2024</t>
  </si>
  <si>
    <t xml:space="preserve">LOADED YESTERDAY FROM PORT - CURRENTLY AT NEW CASTLE ENROUTE JOHANNESBURG </t>
  </si>
  <si>
    <t xml:space="preserve">UNIT AT BONDED FACILITY </t>
  </si>
  <si>
    <t>UNIT TO BE DELIVERED TO THE BONDED FACILITY  TODAY</t>
  </si>
  <si>
    <t>SIN2409S3301723</t>
  </si>
  <si>
    <t>26-09-2024</t>
  </si>
  <si>
    <t xml:space="preserve">NEWCASTLE </t>
  </si>
  <si>
    <t>27-09-2024</t>
  </si>
  <si>
    <t>VESSEL: ORCA ACE Voy, 0049A - ETA DURBAN 28-09-2024</t>
  </si>
  <si>
    <t>COMMENTS 30-09-2024</t>
  </si>
  <si>
    <t>OFFLOADED 27-09-2024</t>
  </si>
  <si>
    <t>28-09-2024</t>
  </si>
  <si>
    <t>AWAITING VESSEL ARRIVAL - ETA DURBAN 05-10-2024</t>
  </si>
  <si>
    <t>COMMENTS 01-10-2024</t>
  </si>
  <si>
    <t>UNIT AT BONDED FACILITY - AWAITING GO AHEAD TO DELIVER THE UNIT TO JOHANNESBURG</t>
  </si>
  <si>
    <t>COLLECTING FROM PORT TODAY</t>
  </si>
  <si>
    <t xml:space="preserve">COLLECTED ENROUTE BONDED FACILITY </t>
  </si>
  <si>
    <t xml:space="preserve">DATE DELIVERED IN TO BONDED FACILITY </t>
  </si>
  <si>
    <t>REMOVAL FROM BOND REQUIRED DATE ON OR BEFORE</t>
  </si>
  <si>
    <t>BOND EXPIRY DATE</t>
  </si>
  <si>
    <t xml:space="preserve">HANDLING </t>
  </si>
  <si>
    <r>
      <rPr>
        <b/>
        <sz val="11"/>
        <color rgb="FFFF0000"/>
        <rFont val="Calibri"/>
        <family val="2"/>
        <scheme val="minor"/>
      </rPr>
      <t>SEPTEMBER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</si>
  <si>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r>
      <rPr>
        <b/>
        <sz val="11"/>
        <color rgb="FFFF0000"/>
        <rFont val="Calibri"/>
        <family val="2"/>
        <scheme val="minor"/>
      </rPr>
      <t>OCTOBER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</si>
  <si>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26-02-2025</t>
  </si>
  <si>
    <t>26-03-2025</t>
  </si>
  <si>
    <t>4 DAYS FREE IN SEPTEMBER</t>
  </si>
  <si>
    <t>3 DAYS FREE IN SEPTEMBER</t>
  </si>
  <si>
    <t>COMMENTS 02-10-2024</t>
  </si>
  <si>
    <t>01-10-2024</t>
  </si>
  <si>
    <t xml:space="preserve">TO BE DELIVERED TO BONDED FACILITY TODAY </t>
  </si>
  <si>
    <t>ND568309</t>
  </si>
  <si>
    <t>ND566109 / ND564162</t>
  </si>
  <si>
    <t>LOADING TODAY FROM BONDED FACILITY</t>
  </si>
  <si>
    <t>COMMENTS 03-10-2024</t>
  </si>
  <si>
    <t>02-10-2024</t>
  </si>
  <si>
    <t>AWAITING VESSEL ARRIVAL - ETA DURBAN 27-10-2024</t>
  </si>
  <si>
    <t>COMMENTS 04-10-2024</t>
  </si>
  <si>
    <t>LOADED - AWAITING KZN PERMIT</t>
  </si>
  <si>
    <t xml:space="preserve">VESSEL ARRIVED AND IS CURRENTLY DISCHARGING CARGO. - VEHICLE STANDING BY TO LOAD </t>
  </si>
  <si>
    <t xml:space="preserve">DISPATCDHED DURBAN ENROUTE JOHANNESBURG </t>
  </si>
  <si>
    <t>COMMENTS 07-10-2024</t>
  </si>
  <si>
    <t>COMMENTS 08-10-2024</t>
  </si>
  <si>
    <t xml:space="preserve">LADYSMITH ENROUTE JOHANNESBURG </t>
  </si>
  <si>
    <t>07-10-2024</t>
  </si>
  <si>
    <t>06-10-2024</t>
  </si>
  <si>
    <t xml:space="preserve">ON SITE - OFFLOADING TODAY </t>
  </si>
  <si>
    <t>COMMENTS 09-10-2024</t>
  </si>
  <si>
    <t>08-10-2024</t>
  </si>
  <si>
    <t>09-10-2024</t>
  </si>
  <si>
    <t xml:space="preserve">CATO RIDGE ENROUTE CAPE TOWN </t>
  </si>
  <si>
    <t>OFFLOADED 09-10-2024</t>
  </si>
  <si>
    <t>COMMENTS 10-10-2024</t>
  </si>
  <si>
    <t xml:space="preserve">SPRING FONTEIN ENROUTE CAPE TOWN </t>
  </si>
  <si>
    <t>BLOEMFONTEIN 09-10-2024</t>
  </si>
  <si>
    <t>COMMENTS 11-10-2024</t>
  </si>
  <si>
    <t>MATJIESFONTEIN ENROUTE CAPE TOWN</t>
  </si>
  <si>
    <t>COMMENTS 14-10-2024</t>
  </si>
  <si>
    <t>OFFLOADED 11-10-2024</t>
  </si>
  <si>
    <t>11-10-2024</t>
  </si>
  <si>
    <t>CAPE TOWN 11-10-2024</t>
  </si>
  <si>
    <t>SIN2409S3301744</t>
  </si>
  <si>
    <t>2410DSI2608</t>
  </si>
  <si>
    <t>COMMENTS 16-10-2024</t>
  </si>
  <si>
    <t>COMMENTS 17-10-2024</t>
  </si>
  <si>
    <t>COMMENTS 18-10-2024</t>
  </si>
  <si>
    <t>COMMENTS 21-10-2024</t>
  </si>
  <si>
    <t xml:space="preserve">UNIT AT BONDED FACILITY - UNIT TO BE LOADED TOMORROW AND DELIVER TO KANU JOHANNESBURG </t>
  </si>
  <si>
    <t>COMMENTS 22-10-2024</t>
  </si>
  <si>
    <t>COMMENTS 23-10-2024</t>
  </si>
  <si>
    <t>22-10-2024</t>
  </si>
  <si>
    <t xml:space="preserve">LOADED AND DISPATCHED DURBAN - CURRENTLY IN COLENSO ENROUTE JOHANNESBURG </t>
  </si>
  <si>
    <t>COMMENTS 24-10-2024</t>
  </si>
  <si>
    <t xml:space="preserve">VEHICLE IS CURRENTLY IN SPRINGS ENROUTE SITE </t>
  </si>
  <si>
    <t>23-10-2024</t>
  </si>
  <si>
    <t>OFFLOADED 24-10-2024</t>
  </si>
  <si>
    <t>24-10-2024</t>
  </si>
  <si>
    <t>COMMENTS 25-10-2024</t>
  </si>
  <si>
    <t>COMMENTS 28-10-2024</t>
  </si>
  <si>
    <t>VESSEL: HOEGH SEOUL Voy. 136 - ETA DURBAN: 28-10-2024</t>
  </si>
  <si>
    <t>VESSEL DUE TO ARRIVE AM TODAY</t>
  </si>
  <si>
    <t>28-10-2024</t>
  </si>
  <si>
    <t>COMMENTS 29-10-2024</t>
  </si>
  <si>
    <t xml:space="preserve">VESSEL IN AND WORKING </t>
  </si>
  <si>
    <t>COMMENTS 30-10-2024</t>
  </si>
  <si>
    <t xml:space="preserve">UNIT TO BE COLLECTED FROM PORT TOMORROW </t>
  </si>
  <si>
    <t>COMMENTS 31-10-2024</t>
  </si>
  <si>
    <t>31-10-2024</t>
  </si>
  <si>
    <t>24-03-2025</t>
  </si>
  <si>
    <t>24-04-2025</t>
  </si>
  <si>
    <t>COMMENTS 01-11-2024</t>
  </si>
  <si>
    <r>
      <rPr>
        <b/>
        <sz val="11"/>
        <color rgb="FFFF0000"/>
        <rFont val="Calibri"/>
        <family val="2"/>
        <scheme val="minor"/>
      </rPr>
      <t>NOVEMBER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</si>
  <si>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 xml:space="preserve">1 FREE DAY </t>
  </si>
  <si>
    <t xml:space="preserve">UNIT AT BONDED FACILITY - TO BE DELIVERED TO CAPE TOWN </t>
  </si>
  <si>
    <t>COMMENTS 04-11-2024</t>
  </si>
  <si>
    <t>COMMENTS 05-11-2024</t>
  </si>
  <si>
    <t>LOADING TOMORROW</t>
  </si>
  <si>
    <t>COMMENTS 06-11-2024</t>
  </si>
  <si>
    <t>LOADING THIS AFTERNOON</t>
  </si>
  <si>
    <t>BP43GGZN</t>
  </si>
  <si>
    <t>ND443606</t>
  </si>
  <si>
    <t>COMMENTS 07-11-2024</t>
  </si>
  <si>
    <t xml:space="preserve">DISPATCHING DURBAN TODAY </t>
  </si>
  <si>
    <t>COMMENTS 08-11-2024</t>
  </si>
  <si>
    <t>COMMENTS 11-11-2024</t>
  </si>
  <si>
    <t>MOOI REVER ENROUTE CAPE TOWN</t>
  </si>
  <si>
    <t>COMMENTS 12-11-2024</t>
  </si>
  <si>
    <t>COLESBERG ENROUTE CAPE TOWN</t>
  </si>
  <si>
    <t>ON SITE WAITING TO OFFLOAD</t>
  </si>
  <si>
    <t>COMMENTS 13-11-2024</t>
  </si>
  <si>
    <t>COMMENTS 14-11-2024</t>
  </si>
  <si>
    <t>OFFLOADED 13-11-2024</t>
  </si>
  <si>
    <t>COMMENTS 15-11-2024</t>
  </si>
  <si>
    <t>COMMENTS 18-11-2024</t>
  </si>
  <si>
    <t>COMMENTS 19-11-2024</t>
  </si>
  <si>
    <t>COMMENTS 20-11-2024</t>
  </si>
  <si>
    <t>DAR15059826</t>
  </si>
  <si>
    <t>LIEBHERR R920 EXCAVATOR</t>
  </si>
  <si>
    <t>LIEBHERR / KANU EQUIPMENT</t>
  </si>
  <si>
    <t>2411DSI2625</t>
  </si>
  <si>
    <t>LIEBHERR R930 EXCAVATOR</t>
  </si>
  <si>
    <t>AWAITING VESSEL ARRIVAL - ETA DURBAN 23-11-2024</t>
  </si>
  <si>
    <t>2411DSI2627</t>
  </si>
  <si>
    <t>DAR15058960</t>
  </si>
  <si>
    <t>DAR15009188</t>
  </si>
  <si>
    <t>DAR15009189</t>
  </si>
  <si>
    <t>COMMENTS 21-11-2024</t>
  </si>
  <si>
    <t>COMMENTS 22-11-2024</t>
  </si>
  <si>
    <t>AWAITING VESSEL ARRIVAL - ETA DURBAN 24-11-2024</t>
  </si>
  <si>
    <t>VESSEL: PRESTIGE Voy. TBA - ETA DURBAQN: 24-11-2024</t>
  </si>
  <si>
    <t>COMMENTS 25-11-2024</t>
  </si>
  <si>
    <t>25-11-2024</t>
  </si>
  <si>
    <t>VESSEL ARRIVED @1:00AM TODAY - BUSY DISCHARGING CONTAINERS</t>
  </si>
  <si>
    <t>COMMENTS 26-11-2024</t>
  </si>
  <si>
    <t>VESSEL BUSY DISCHARGING CONTAINERS</t>
  </si>
  <si>
    <t>COMMENTS 27-11-2024</t>
  </si>
  <si>
    <t>VESSEL BUSY DISCHARGING CONTAINERS - FLAT RACK STILL ONBOARD THE VESSEL</t>
  </si>
  <si>
    <t>COMMENTS 28-11-2024</t>
  </si>
  <si>
    <t xml:space="preserve">VESSEL BUSY DISCHARGING CONTAINERS - FLAT RACK DISCHARGED FROM VESSEL - AWAITING COLLECTION CONFIRMATION </t>
  </si>
  <si>
    <t>COMMENTS 29-11-2024</t>
  </si>
  <si>
    <t>COMMENTS 02-12-2024</t>
  </si>
  <si>
    <r>
      <rPr>
        <b/>
        <sz val="11"/>
        <color rgb="FFFF0000"/>
        <rFont val="Calibri"/>
        <family val="2"/>
        <scheme val="minor"/>
      </rPr>
      <t>DECEMBER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</si>
  <si>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UNPACKED FROM FLAT RACK - UNIT NOT STARTING - TO BE DELIVERED TO FML BONDED FACILITY ONCE UNIT STARTS</t>
  </si>
  <si>
    <t>UNIT UNPACKED FROM FLAT RACK - TO BE DELIVERED TO FML BONDED FACILITY - UNIT TO BE DELIVERED TO BRACKENFEL</t>
  </si>
  <si>
    <t xml:space="preserve">UNIT UNPACKED FROM FLAT RACK - TO BE DELIVERED TO FML BONDED FACILITY </t>
  </si>
  <si>
    <t>COMMENTS 03-12-2024</t>
  </si>
  <si>
    <t>TO BE DELIVERED TO BONDED FACILITY TODAY</t>
  </si>
  <si>
    <t>COMMENTS 04-12-2024</t>
  </si>
  <si>
    <t>03-12-2024</t>
  </si>
  <si>
    <t>22-05-2025</t>
  </si>
  <si>
    <t>22-04-2025</t>
  </si>
  <si>
    <t>COMMENTS 05-12-2024</t>
  </si>
  <si>
    <t xml:space="preserve">LOADING TODAY </t>
  </si>
  <si>
    <t>COMMENTS 06-12-2024</t>
  </si>
  <si>
    <t>LOADED 05-12-2024 - CURRENTLY IN KOKSTAD AWAITING EASTERN CAPE PERMIT</t>
  </si>
  <si>
    <t>COMMENTS 09-12-2024</t>
  </si>
  <si>
    <t xml:space="preserve">ON SITE WAITING TO OFFLOAD </t>
  </si>
  <si>
    <t>COMMENTS 10-12-2024</t>
  </si>
  <si>
    <t>OFFLOADED 09-12-2024</t>
  </si>
  <si>
    <t>LOADING TOMORROW 11-12-2024</t>
  </si>
  <si>
    <t>COMMENTS 11-12-2024</t>
  </si>
  <si>
    <t>PLANNED TO LOAD TOMORROW, AWAITING PERMITS</t>
  </si>
  <si>
    <t>COMMENTS 12-12-2024</t>
  </si>
  <si>
    <t>COMMENTS 13-12-2024</t>
  </si>
  <si>
    <t>GREYTOWN - ROAD CLOSED DUE TO A ACCIDENT  - ETA ON SITE 18-12-2024</t>
  </si>
  <si>
    <t>COMMENTS 17-12-2024</t>
  </si>
  <si>
    <t>GREYTOWN - AWAITING POLICE ESCORT TO PROCEED TO JOHANNESBURG</t>
  </si>
  <si>
    <t>COMMENTS 18-12-2024</t>
  </si>
  <si>
    <t>LADYSMITH AWAITING PERMIT</t>
  </si>
  <si>
    <t>COMMENTS 19-12-2024</t>
  </si>
  <si>
    <t>VREDE ENROUTE JOHANNESBURG</t>
  </si>
  <si>
    <t>COMMENTS 20-12-2024</t>
  </si>
  <si>
    <t>OFFLOADED 19-12-2024</t>
  </si>
  <si>
    <t>COMMENTS 23-12-2024</t>
  </si>
  <si>
    <t>COMMENTS 24-12-2024</t>
  </si>
  <si>
    <t>COMMENTS 27-12-2024</t>
  </si>
  <si>
    <t>COMMENTS 30-12-2024</t>
  </si>
  <si>
    <t>COMMENTS 02-01-2025</t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</si>
  <si>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</si>
  <si>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</si>
  <si>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</si>
  <si>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</si>
  <si>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</si>
  <si>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</si>
  <si>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</si>
  <si>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</si>
  <si>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</si>
  <si>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</si>
  <si>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</si>
  <si>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</si>
  <si>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</si>
  <si>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</si>
  <si>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 xml:space="preserve">UNIT AT BONDED FACILITY - UNIT TO BE DELIVERED TO SPRINGS - LOADING DATE TO BE CONFIRM - UNDER CUSTOMS CLEARANCE </t>
  </si>
  <si>
    <t xml:space="preserve">UNIT AT BONDED FACILITY - UNIT TO BE DELIVERED TO DURBAN - LOADING DATE TO BE CONFIRM - UNDER CUSTOMS CLEARANCE </t>
  </si>
  <si>
    <t>COMMENTS 22-01-2025</t>
  </si>
  <si>
    <t>COMMENTS 23-01-2025</t>
  </si>
  <si>
    <t>UNIT AT BONDED FACILITY - UNIT TO BE DELIVERED TO SPRINGS - LOADING PLANNED FOR EARLY NEXT WEEK</t>
  </si>
  <si>
    <t>COMMENTS 24-01-2025</t>
  </si>
  <si>
    <t>COMMENTS 27-01-2025</t>
  </si>
  <si>
    <t xml:space="preserve">LOADED FROM BONDED FACITLITY ON FRIDAY - CURRENTLY AT LIEBHERR SPRINGS WAITING TO OFFLOAD </t>
  </si>
  <si>
    <t>LOADED FROM BONDED FACILITY ON FRIDAY AND DELIVERED ON SITE FRIDAY 24-01-2025</t>
  </si>
  <si>
    <t>COMMENTS 28-01-2025</t>
  </si>
  <si>
    <r>
      <rPr>
        <b/>
        <sz val="11"/>
        <color rgb="FFFF0000"/>
        <rFont val="Calibri"/>
        <family val="2"/>
        <scheme val="minor"/>
      </rPr>
      <t>FEBRUARY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</si>
  <si>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 xml:space="preserve">TOTAL COST PER UNIT </t>
  </si>
  <si>
    <t>19-05-2025</t>
  </si>
  <si>
    <t>26-05-2025</t>
  </si>
  <si>
    <t>15-05-2025</t>
  </si>
  <si>
    <t>05-05-2025</t>
  </si>
  <si>
    <r>
      <rPr>
        <b/>
        <sz val="11"/>
        <color rgb="FFFF0000"/>
        <rFont val="Calibri"/>
        <family val="2"/>
        <scheme val="minor"/>
      </rPr>
      <t>APRIL 2025</t>
    </r>
    <r>
      <rPr>
        <b/>
        <sz val="11"/>
        <color theme="1"/>
        <rFont val="Calibri"/>
        <family val="2"/>
        <scheme val="minor"/>
      </rPr>
      <t xml:space="preserve"> - STORAGE PER MONTH @ R250 PER DAY PER UNIT (7 DAYS FREE STORAGE )</t>
    </r>
  </si>
  <si>
    <r>
      <rPr>
        <b/>
        <sz val="11"/>
        <color rgb="FFFF0000"/>
        <rFont val="Calibri"/>
        <family val="2"/>
        <scheme val="minor"/>
      </rPr>
      <t>MARCH 2025</t>
    </r>
    <r>
      <rPr>
        <b/>
        <sz val="11"/>
        <color theme="1"/>
        <rFont val="Calibri"/>
        <family val="2"/>
        <scheme val="minor"/>
      </rPr>
      <t xml:space="preserve"> - STORAGE PER MONTH @ R250 PER DAY PER UNIT (7 DAYS FREE STORAGE )</t>
    </r>
  </si>
  <si>
    <r>
      <rPr>
        <b/>
        <sz val="11"/>
        <color rgb="FFFF0000"/>
        <rFont val="Calibri"/>
        <family val="2"/>
        <scheme val="minor"/>
      </rPr>
      <t>MAY 2025</t>
    </r>
    <r>
      <rPr>
        <b/>
        <sz val="11"/>
        <color theme="1"/>
        <rFont val="Calibri"/>
        <family val="2"/>
        <scheme val="minor"/>
      </rPr>
      <t xml:space="preserve"> - STORAGE PER MONTH @ R250 PER DAY PER UNIT (7 DAYS FREE STORAGE )</t>
    </r>
  </si>
  <si>
    <r>
      <t>NUMBER OF DAYS STORED UNTIL END OF</t>
    </r>
    <r>
      <rPr>
        <b/>
        <sz val="11"/>
        <color rgb="FFFF0000"/>
        <rFont val="Calibri"/>
        <family val="2"/>
        <scheme val="minor"/>
      </rPr>
      <t xml:space="preserve"> MAY 2025</t>
    </r>
  </si>
  <si>
    <t>BJ30GWZN - PH221</t>
  </si>
  <si>
    <t>BK74FYZN / BK71HCZN</t>
  </si>
  <si>
    <t>ND760431</t>
  </si>
  <si>
    <t>CM09LJZN / ND760428</t>
  </si>
  <si>
    <t>ND654346 / ND526680</t>
  </si>
  <si>
    <t>OFFLOADED 08-05-2025</t>
  </si>
  <si>
    <t>ND834401</t>
  </si>
  <si>
    <t>OFFLOADED 14-05-2025</t>
  </si>
  <si>
    <t>OFFLOADED 15-05-2025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</si>
</sst>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 Narrow"/>
      <family val="2"/>
    </font>
    <font>
      <b/>
      <sz val="10"/>
      <color rgb="FFFF0000"/>
      <name val="Arial Narrow"/>
      <family val="2"/>
    </font>
  </fonts>
  <fills count="40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vertical="center" wrapText="1"/>
    </xf>
    <xf numFmtId="0" fontId="2" fillId="36" borderId="1" xfId="0" applyFont="1" applyFill="1" applyBorder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 wrapText="1"/>
    </xf>
    <xf numFmtId="164" fontId="2" fillId="37" borderId="1" xfId="0" applyNumberFormat="1" applyFont="1" applyFill="1" applyBorder="1" applyAlignment="1">
      <alignment horizontal="center" vertical="center"/>
    </xf>
    <xf numFmtId="164" fontId="2" fillId="38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6" fillId="0" borderId="0" xfId="0" applyFont="1"/>
    <xf numFmtId="0" fontId="2" fillId="39" borderId="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1</xdr:col>
      <xdr:colOff>1388838</xdr:colOff>
      <xdr:row>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8</xdr:col>
      <xdr:colOff>212301</xdr:colOff>
      <xdr:row>3</xdr:row>
      <xdr:rowOff>171578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702945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171450</xdr:colOff>
      <xdr:row>5</xdr:row>
      <xdr:rowOff>57773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EZ8"/>
  <sheetViews>
    <sheetView tabSelected="1" zoomScale="90" zoomScaleNormal="90" workbookViewId="0">
      <selection activeCell="C1" sqref="C1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hidden="1" customWidth="1"/>
    <col min="6" max="6" width="13.5546875" style="3" hidden="1" customWidth="1"/>
    <col min="7" max="7" width="16.88671875" style="3" customWidth="1"/>
    <col min="8" max="8" width="16.21875" style="3" customWidth="1"/>
    <col min="9" max="9" width="11.88671875" style="3" customWidth="1"/>
    <col min="10" max="10" width="16" style="3" customWidth="1"/>
    <col min="11" max="11" width="32.6640625" style="13" customWidth="1"/>
    <col min="12" max="12" width="10.33203125" style="3" customWidth="1"/>
    <col min="13" max="16" width="16.77734375" style="3" customWidth="1"/>
    <col min="17" max="21" width="16.77734375" style="3" hidden="1" customWidth="1"/>
    <col min="22" max="27" width="16.77734375" style="3" customWidth="1"/>
    <col min="28" max="28" width="9.109375" style="3" hidden="1" customWidth="1"/>
    <col min="29" max="29" width="13.6640625" style="3" hidden="1" customWidth="1"/>
    <col min="30" max="30" width="11.6640625" style="3" hidden="1" customWidth="1"/>
    <col min="31" max="31" width="11.44140625" style="3" hidden="1" customWidth="1"/>
    <col min="32" max="32" width="12.33203125" style="3" hidden="1" customWidth="1"/>
    <col min="33" max="33" width="9.109375" style="3" hidden="1" customWidth="1"/>
    <col min="34" max="34" width="17.44140625" style="3" hidden="1" customWidth="1"/>
    <col min="35" max="35" width="18.109375" style="3" hidden="1" customWidth="1"/>
    <col min="36" max="36" width="11.33203125" style="3" hidden="1" customWidth="1"/>
    <col min="37" max="37" width="13.6640625" style="3" hidden="1" customWidth="1"/>
    <col min="38" max="155" width="25.44140625" style="3" hidden="1" customWidth="1"/>
    <col min="156" max="156" width="21.33203125" style="3" customWidth="1"/>
    <col min="157" max="16384" width="9.109375" style="3"/>
  </cols>
  <sheetData>
    <row r="1" spans="1:15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26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15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15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156" ht="20.399999999999999" x14ac:dyDescent="0.35">
      <c r="B4" s="5"/>
      <c r="G4" s="1"/>
      <c r="H4" s="6"/>
      <c r="I4" s="7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8"/>
      <c r="AJ4" s="1"/>
      <c r="AK4" s="1"/>
    </row>
    <row r="5" spans="1:156" x14ac:dyDescent="0.3">
      <c r="B5" s="6"/>
      <c r="G5" s="1"/>
      <c r="H5" s="6"/>
      <c r="I5" s="7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156" x14ac:dyDescent="0.3">
      <c r="B6" s="6"/>
      <c r="G6" s="1"/>
      <c r="H6" s="6"/>
      <c r="I6" s="7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156" s="11" customFormat="1" ht="86.4" x14ac:dyDescent="0.3">
      <c r="A7" s="9" t="s">
        <v>23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15</v>
      </c>
      <c r="K7" s="9" t="s">
        <v>10</v>
      </c>
      <c r="L7" s="9" t="s">
        <v>11</v>
      </c>
      <c r="M7" s="9" t="s">
        <v>113</v>
      </c>
      <c r="N7" s="17" t="s">
        <v>114</v>
      </c>
      <c r="O7" s="17" t="s">
        <v>115</v>
      </c>
      <c r="P7" s="17" t="s">
        <v>116</v>
      </c>
      <c r="Q7" s="18" t="s">
        <v>117</v>
      </c>
      <c r="R7" s="18" t="s">
        <v>118</v>
      </c>
      <c r="S7" s="18" t="s">
        <v>186</v>
      </c>
      <c r="T7" s="18" t="s">
        <v>236</v>
      </c>
      <c r="U7" s="18" t="s">
        <v>273</v>
      </c>
      <c r="V7" s="18" t="s">
        <v>297</v>
      </c>
      <c r="W7" s="18" t="s">
        <v>304</v>
      </c>
      <c r="X7" s="18" t="s">
        <v>303</v>
      </c>
      <c r="Y7" s="18" t="s">
        <v>305</v>
      </c>
      <c r="Z7" s="18" t="s">
        <v>306</v>
      </c>
      <c r="AA7" s="18" t="s">
        <v>298</v>
      </c>
      <c r="AB7" s="9" t="s">
        <v>12</v>
      </c>
      <c r="AC7" s="9" t="s">
        <v>102</v>
      </c>
      <c r="AD7" s="9" t="s">
        <v>13</v>
      </c>
      <c r="AE7" s="9" t="s">
        <v>14</v>
      </c>
      <c r="AF7" s="9" t="s">
        <v>16</v>
      </c>
      <c r="AG7" s="9" t="s">
        <v>17</v>
      </c>
      <c r="AH7" s="9" t="s">
        <v>18</v>
      </c>
      <c r="AI7" s="9" t="s">
        <v>19</v>
      </c>
      <c r="AJ7" s="9" t="s">
        <v>20</v>
      </c>
      <c r="AK7" s="9" t="s">
        <v>21</v>
      </c>
      <c r="AL7" s="9" t="s">
        <v>24</v>
      </c>
      <c r="AM7" s="9" t="s">
        <v>30</v>
      </c>
      <c r="AN7" s="9" t="s">
        <v>31</v>
      </c>
      <c r="AO7" s="9" t="s">
        <v>32</v>
      </c>
      <c r="AP7" s="9" t="s">
        <v>33</v>
      </c>
      <c r="AQ7" s="9" t="s">
        <v>34</v>
      </c>
      <c r="AR7" s="9" t="s">
        <v>35</v>
      </c>
      <c r="AS7" s="9" t="s">
        <v>36</v>
      </c>
      <c r="AT7" s="9" t="s">
        <v>37</v>
      </c>
      <c r="AU7" s="9" t="s">
        <v>38</v>
      </c>
      <c r="AV7" s="9" t="s">
        <v>39</v>
      </c>
      <c r="AW7" s="9" t="s">
        <v>40</v>
      </c>
      <c r="AX7" s="9" t="s">
        <v>41</v>
      </c>
      <c r="AY7" s="9" t="s">
        <v>42</v>
      </c>
      <c r="AZ7" s="9" t="s">
        <v>44</v>
      </c>
      <c r="BA7" s="9" t="s">
        <v>45</v>
      </c>
      <c r="BB7" s="9" t="s">
        <v>46</v>
      </c>
      <c r="BC7" s="9" t="s">
        <v>47</v>
      </c>
      <c r="BD7" s="9" t="s">
        <v>51</v>
      </c>
      <c r="BE7" s="9" t="s">
        <v>52</v>
      </c>
      <c r="BF7" s="9" t="s">
        <v>53</v>
      </c>
      <c r="BG7" s="9" t="s">
        <v>54</v>
      </c>
      <c r="BH7" s="9" t="s">
        <v>55</v>
      </c>
      <c r="BI7" s="9" t="s">
        <v>57</v>
      </c>
      <c r="BJ7" s="9" t="s">
        <v>58</v>
      </c>
      <c r="BK7" s="9" t="s">
        <v>59</v>
      </c>
      <c r="BL7" s="9" t="s">
        <v>60</v>
      </c>
      <c r="BM7" s="9" t="s">
        <v>61</v>
      </c>
      <c r="BN7" s="9" t="s">
        <v>71</v>
      </c>
      <c r="BO7" s="9" t="s">
        <v>73</v>
      </c>
      <c r="BP7" s="9" t="s">
        <v>80</v>
      </c>
      <c r="BQ7" s="9" t="s">
        <v>82</v>
      </c>
      <c r="BR7" s="9" t="s">
        <v>83</v>
      </c>
      <c r="BS7" s="9" t="s">
        <v>90</v>
      </c>
      <c r="BT7" s="9" t="s">
        <v>91</v>
      </c>
      <c r="BU7" s="9" t="s">
        <v>96</v>
      </c>
      <c r="BV7" s="9" t="s">
        <v>105</v>
      </c>
      <c r="BW7" s="9" t="s">
        <v>109</v>
      </c>
      <c r="BX7" s="9" t="s">
        <v>123</v>
      </c>
      <c r="BY7" s="9" t="s">
        <v>129</v>
      </c>
      <c r="BZ7" s="9" t="s">
        <v>132</v>
      </c>
      <c r="CA7" s="9" t="s">
        <v>136</v>
      </c>
      <c r="CB7" s="9" t="s">
        <v>137</v>
      </c>
      <c r="CC7" s="9" t="s">
        <v>142</v>
      </c>
      <c r="CD7" s="9" t="s">
        <v>147</v>
      </c>
      <c r="CE7" s="9" t="s">
        <v>150</v>
      </c>
      <c r="CF7" s="9" t="s">
        <v>152</v>
      </c>
      <c r="CG7" s="9" t="s">
        <v>158</v>
      </c>
      <c r="CH7" s="9" t="s">
        <v>159</v>
      </c>
      <c r="CI7" s="9" t="s">
        <v>159</v>
      </c>
      <c r="CJ7" s="9" t="s">
        <v>160</v>
      </c>
      <c r="CK7" s="9" t="s">
        <v>161</v>
      </c>
      <c r="CL7" s="9" t="s">
        <v>163</v>
      </c>
      <c r="CM7" s="9" t="s">
        <v>164</v>
      </c>
      <c r="CN7" s="9" t="s">
        <v>167</v>
      </c>
      <c r="CO7" s="9" t="s">
        <v>172</v>
      </c>
      <c r="CP7" s="9" t="s">
        <v>173</v>
      </c>
      <c r="CQ7" s="9" t="s">
        <v>177</v>
      </c>
      <c r="CR7" s="9" t="s">
        <v>179</v>
      </c>
      <c r="CS7" s="9" t="s">
        <v>181</v>
      </c>
      <c r="CT7" s="9" t="s">
        <v>185</v>
      </c>
      <c r="CU7" s="9" t="s">
        <v>189</v>
      </c>
      <c r="CV7" s="9" t="s">
        <v>190</v>
      </c>
      <c r="CW7" s="9" t="s">
        <v>192</v>
      </c>
      <c r="CX7" s="9" t="s">
        <v>196</v>
      </c>
      <c r="CY7" s="9" t="s">
        <v>198</v>
      </c>
      <c r="CZ7" s="9" t="s">
        <v>199</v>
      </c>
      <c r="DA7" s="9" t="s">
        <v>201</v>
      </c>
      <c r="DB7" s="9" t="s">
        <v>204</v>
      </c>
      <c r="DC7" s="9" t="s">
        <v>205</v>
      </c>
      <c r="DD7" s="9" t="s">
        <v>207</v>
      </c>
      <c r="DE7" s="9" t="s">
        <v>208</v>
      </c>
      <c r="DF7" s="9" t="s">
        <v>209</v>
      </c>
      <c r="DG7" s="9" t="s">
        <v>210</v>
      </c>
      <c r="DH7" s="9" t="s">
        <v>221</v>
      </c>
      <c r="DI7" s="9" t="s">
        <v>222</v>
      </c>
      <c r="DJ7" s="9" t="s">
        <v>225</v>
      </c>
      <c r="DK7" s="9" t="s">
        <v>228</v>
      </c>
      <c r="DL7" s="9" t="s">
        <v>230</v>
      </c>
      <c r="DM7" s="9" t="s">
        <v>232</v>
      </c>
      <c r="DN7" s="9" t="s">
        <v>234</v>
      </c>
      <c r="DO7" s="9" t="s">
        <v>235</v>
      </c>
      <c r="DP7" s="9" t="s">
        <v>240</v>
      </c>
      <c r="DQ7" s="9" t="s">
        <v>242</v>
      </c>
      <c r="DR7" s="9" t="s">
        <v>246</v>
      </c>
      <c r="DS7" s="9" t="s">
        <v>248</v>
      </c>
      <c r="DT7" s="9" t="s">
        <v>250</v>
      </c>
      <c r="DU7" s="9" t="s">
        <v>252</v>
      </c>
      <c r="DV7" s="9" t="s">
        <v>255</v>
      </c>
      <c r="DW7" s="9" t="s">
        <v>257</v>
      </c>
      <c r="DX7" s="9" t="s">
        <v>258</v>
      </c>
      <c r="DY7" s="9" t="s">
        <v>260</v>
      </c>
      <c r="DZ7" s="9" t="s">
        <v>262</v>
      </c>
      <c r="EA7" s="9" t="s">
        <v>264</v>
      </c>
      <c r="EB7" s="9" t="s">
        <v>266</v>
      </c>
      <c r="EC7" s="9" t="s">
        <v>268</v>
      </c>
      <c r="ED7" s="9" t="s">
        <v>269</v>
      </c>
      <c r="EE7" s="9" t="s">
        <v>270</v>
      </c>
      <c r="EF7" s="9" t="s">
        <v>271</v>
      </c>
      <c r="EG7" s="9" t="s">
        <v>272</v>
      </c>
      <c r="EH7" s="9" t="s">
        <v>274</v>
      </c>
      <c r="EI7" s="9" t="s">
        <v>275</v>
      </c>
      <c r="EJ7" s="9" t="s">
        <v>276</v>
      </c>
      <c r="EK7" s="9" t="s">
        <v>277</v>
      </c>
      <c r="EL7" s="9" t="s">
        <v>278</v>
      </c>
      <c r="EM7" s="9" t="s">
        <v>279</v>
      </c>
      <c r="EN7" s="9" t="s">
        <v>280</v>
      </c>
      <c r="EO7" s="9" t="s">
        <v>281</v>
      </c>
      <c r="EP7" s="9" t="s">
        <v>282</v>
      </c>
      <c r="EQ7" s="9" t="s">
        <v>283</v>
      </c>
      <c r="ER7" s="9" t="s">
        <v>284</v>
      </c>
      <c r="ES7" s="9" t="s">
        <v>285</v>
      </c>
      <c r="ET7" s="9" t="s">
        <v>286</v>
      </c>
      <c r="EU7" s="9" t="s">
        <v>289</v>
      </c>
      <c r="EV7" s="9" t="s">
        <v>290</v>
      </c>
      <c r="EW7" s="9" t="s">
        <v>292</v>
      </c>
      <c r="EX7" s="9" t="s">
        <v>293</v>
      </c>
      <c r="EY7" s="9" t="s">
        <v>296</v>
      </c>
    </row>
    <row r="8" spans="1:156" s="16" customFormat="1" ht="66.75" customHeight="1" x14ac:dyDescent="0.3">
      <c r="A8" s="15" t="s">
        <v>68</v>
      </c>
      <c r="B8" s="14" t="s">
        <v>27</v>
      </c>
      <c r="C8" s="14" t="s">
        <v>26</v>
      </c>
      <c r="D8" s="14">
        <v>41244</v>
      </c>
      <c r="E8" s="15"/>
      <c r="F8" s="14"/>
      <c r="G8" s="15" t="s">
        <v>64</v>
      </c>
      <c r="H8" s="15" t="s">
        <v>313</v>
      </c>
      <c r="I8" s="14" t="s">
        <v>311</v>
      </c>
      <c r="J8" s="14" t="s">
        <v>84</v>
      </c>
      <c r="K8" s="12" t="s">
        <v>315</v>
      </c>
      <c r="L8" s="15" t="s">
        <v>87</v>
      </c>
      <c r="M8" s="15" t="s">
        <v>101</v>
      </c>
      <c r="N8" s="19" t="s">
        <v>302</v>
      </c>
      <c r="O8" s="15" t="s">
        <v>299</v>
      </c>
      <c r="P8" s="20">
        <v>5100</v>
      </c>
      <c r="Q8" s="22" t="s">
        <v>121</v>
      </c>
      <c r="R8" s="20">
        <v>5000</v>
      </c>
      <c r="S8" s="20">
        <v>5800</v>
      </c>
      <c r="T8" s="20">
        <v>6200</v>
      </c>
      <c r="U8" s="20">
        <v>6200</v>
      </c>
      <c r="V8" s="20">
        <v>5600</v>
      </c>
      <c r="W8" s="20">
        <v>7750</v>
      </c>
      <c r="X8" s="20">
        <v>7500</v>
      </c>
      <c r="Y8" s="20">
        <f>SUM(EZ8)*250</f>
        <v>2250</v>
      </c>
      <c r="Z8" s="15">
        <f>SUM(216+EZ8)</f>
        <v>225</v>
      </c>
      <c r="AA8" s="20">
        <f>SUM(P8+R8+S8+T8+V8+U8+W8+X8+Y8)</f>
        <v>51400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2" t="s">
        <v>29</v>
      </c>
      <c r="AM8" s="12" t="s">
        <v>29</v>
      </c>
      <c r="AN8" s="12" t="s">
        <v>29</v>
      </c>
      <c r="AO8" s="12" t="s">
        <v>29</v>
      </c>
      <c r="AP8" s="12" t="s">
        <v>29</v>
      </c>
      <c r="AQ8" s="12" t="s">
        <v>29</v>
      </c>
      <c r="AR8" s="12" t="s">
        <v>29</v>
      </c>
      <c r="AS8" s="12" t="s">
        <v>29</v>
      </c>
      <c r="AT8" s="12" t="s">
        <v>29</v>
      </c>
      <c r="AU8" s="12" t="s">
        <v>29</v>
      </c>
      <c r="AV8" s="12" t="s">
        <v>29</v>
      </c>
      <c r="AW8" s="12" t="s">
        <v>29</v>
      </c>
      <c r="AX8" s="12" t="s">
        <v>29</v>
      </c>
      <c r="AY8" s="12" t="s">
        <v>43</v>
      </c>
      <c r="AZ8" s="12" t="s">
        <v>43</v>
      </c>
      <c r="BA8" s="12" t="s">
        <v>43</v>
      </c>
      <c r="BB8" s="12" t="s">
        <v>43</v>
      </c>
      <c r="BC8" s="12" t="s">
        <v>50</v>
      </c>
      <c r="BD8" s="12" t="s">
        <v>50</v>
      </c>
      <c r="BE8" s="12" t="s">
        <v>50</v>
      </c>
      <c r="BF8" s="12" t="s">
        <v>50</v>
      </c>
      <c r="BG8" s="12" t="s">
        <v>50</v>
      </c>
      <c r="BH8" s="12" t="s">
        <v>56</v>
      </c>
      <c r="BI8" s="12" t="s">
        <v>56</v>
      </c>
      <c r="BJ8" s="12" t="s">
        <v>56</v>
      </c>
      <c r="BK8" s="12" t="s">
        <v>56</v>
      </c>
      <c r="BL8" s="12" t="s">
        <v>56</v>
      </c>
      <c r="BM8" s="12" t="s">
        <v>56</v>
      </c>
      <c r="BN8" s="12" t="s">
        <v>56</v>
      </c>
      <c r="BO8" s="12" t="s">
        <v>56</v>
      </c>
      <c r="BP8" s="12" t="s">
        <v>56</v>
      </c>
      <c r="BQ8" s="12" t="s">
        <v>81</v>
      </c>
      <c r="BR8" s="12" t="s">
        <v>56</v>
      </c>
      <c r="BS8" s="12" t="s">
        <v>86</v>
      </c>
      <c r="BT8" s="12" t="s">
        <v>92</v>
      </c>
      <c r="BU8" s="12" t="s">
        <v>98</v>
      </c>
      <c r="BV8" s="12" t="s">
        <v>98</v>
      </c>
      <c r="BW8" s="12" t="s">
        <v>98</v>
      </c>
      <c r="BX8" s="12" t="s">
        <v>98</v>
      </c>
      <c r="BY8" s="12" t="s">
        <v>98</v>
      </c>
      <c r="BZ8" s="12" t="s">
        <v>98</v>
      </c>
      <c r="CA8" s="12" t="s">
        <v>98</v>
      </c>
      <c r="CB8" s="12" t="s">
        <v>98</v>
      </c>
      <c r="CC8" s="12" t="s">
        <v>98</v>
      </c>
      <c r="CD8" s="12" t="s">
        <v>98</v>
      </c>
      <c r="CE8" s="12" t="s">
        <v>98</v>
      </c>
      <c r="CF8" s="12" t="s">
        <v>98</v>
      </c>
      <c r="CG8" s="12" t="s">
        <v>98</v>
      </c>
      <c r="CH8" s="12" t="s">
        <v>98</v>
      </c>
      <c r="CI8" s="12" t="s">
        <v>98</v>
      </c>
      <c r="CJ8" s="12" t="s">
        <v>98</v>
      </c>
      <c r="CK8" s="12" t="s">
        <v>98</v>
      </c>
      <c r="CL8" s="12" t="s">
        <v>98</v>
      </c>
      <c r="CM8" s="12" t="s">
        <v>98</v>
      </c>
      <c r="CN8" s="12" t="s">
        <v>98</v>
      </c>
      <c r="CO8" s="12" t="s">
        <v>98</v>
      </c>
      <c r="CP8" s="12" t="s">
        <v>98</v>
      </c>
      <c r="CQ8" s="12" t="s">
        <v>98</v>
      </c>
      <c r="CR8" s="12" t="s">
        <v>98</v>
      </c>
      <c r="CS8" s="12" t="s">
        <v>98</v>
      </c>
      <c r="CT8" s="12" t="s">
        <v>98</v>
      </c>
      <c r="CU8" s="12" t="s">
        <v>98</v>
      </c>
      <c r="CV8" s="12" t="s">
        <v>98</v>
      </c>
      <c r="CW8" s="12" t="s">
        <v>98</v>
      </c>
      <c r="CX8" s="12" t="s">
        <v>98</v>
      </c>
      <c r="CY8" s="12" t="s">
        <v>98</v>
      </c>
      <c r="CZ8" s="12" t="s">
        <v>98</v>
      </c>
      <c r="DA8" s="12" t="s">
        <v>98</v>
      </c>
      <c r="DB8" s="12" t="s">
        <v>98</v>
      </c>
      <c r="DC8" s="12" t="s">
        <v>98</v>
      </c>
      <c r="DD8" s="12" t="s">
        <v>98</v>
      </c>
      <c r="DE8" s="12" t="s">
        <v>98</v>
      </c>
      <c r="DF8" s="12" t="s">
        <v>98</v>
      </c>
      <c r="DG8" s="12" t="s">
        <v>98</v>
      </c>
      <c r="DH8" s="12" t="s">
        <v>98</v>
      </c>
      <c r="DI8" s="12" t="s">
        <v>98</v>
      </c>
      <c r="DJ8" s="12" t="s">
        <v>98</v>
      </c>
      <c r="DK8" s="12" t="s">
        <v>98</v>
      </c>
      <c r="DL8" s="12" t="s">
        <v>98</v>
      </c>
      <c r="DM8" s="12" t="s">
        <v>98</v>
      </c>
      <c r="DN8" s="12" t="s">
        <v>98</v>
      </c>
      <c r="DO8" s="12" t="s">
        <v>98</v>
      </c>
      <c r="DP8" s="12" t="s">
        <v>98</v>
      </c>
      <c r="DQ8" s="12" t="s">
        <v>98</v>
      </c>
      <c r="DR8" s="12" t="s">
        <v>98</v>
      </c>
      <c r="DS8" s="12" t="s">
        <v>98</v>
      </c>
      <c r="DT8" s="12" t="s">
        <v>98</v>
      </c>
      <c r="DU8" s="12" t="s">
        <v>98</v>
      </c>
      <c r="DV8" s="12" t="s">
        <v>98</v>
      </c>
      <c r="DW8" s="12" t="s">
        <v>98</v>
      </c>
      <c r="DX8" s="12" t="s">
        <v>98</v>
      </c>
      <c r="DY8" s="12" t="s">
        <v>98</v>
      </c>
      <c r="DZ8" s="12" t="s">
        <v>98</v>
      </c>
      <c r="EA8" s="12" t="s">
        <v>98</v>
      </c>
      <c r="EB8" s="12" t="s">
        <v>98</v>
      </c>
      <c r="EC8" s="12" t="s">
        <v>98</v>
      </c>
      <c r="ED8" s="12" t="s">
        <v>98</v>
      </c>
      <c r="EE8" s="12" t="s">
        <v>98</v>
      </c>
      <c r="EF8" s="12" t="s">
        <v>98</v>
      </c>
      <c r="EG8" s="12" t="s">
        <v>98</v>
      </c>
      <c r="EH8" s="12" t="s">
        <v>98</v>
      </c>
      <c r="EI8" s="12" t="s">
        <v>98</v>
      </c>
      <c r="EJ8" s="12" t="s">
        <v>98</v>
      </c>
      <c r="EK8" s="12" t="s">
        <v>98</v>
      </c>
      <c r="EL8" s="12" t="s">
        <v>98</v>
      </c>
      <c r="EM8" s="12" t="s">
        <v>98</v>
      </c>
      <c r="EN8" s="12" t="s">
        <v>98</v>
      </c>
      <c r="EO8" s="12" t="s">
        <v>98</v>
      </c>
      <c r="EP8" s="12" t="s">
        <v>98</v>
      </c>
      <c r="EQ8" s="12" t="s">
        <v>98</v>
      </c>
      <c r="ER8" s="12" t="s">
        <v>98</v>
      </c>
      <c r="ES8" s="12" t="s">
        <v>98</v>
      </c>
      <c r="ET8" s="12" t="s">
        <v>98</v>
      </c>
      <c r="EU8" s="12" t="s">
        <v>98</v>
      </c>
      <c r="EV8" s="12" t="s">
        <v>98</v>
      </c>
      <c r="EW8" s="12" t="s">
        <v>98</v>
      </c>
      <c r="EX8" s="12" t="s">
        <v>98</v>
      </c>
      <c r="EY8" s="12" t="s">
        <v>98</v>
      </c>
      <c r="EZ8" s="21">
        <v>9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ET19"/>
  <sheetViews>
    <sheetView topLeftCell="B16" workbookViewId="0">
      <selection activeCell="B19" sqref="B19:AB19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16384" width="9.109375" style="3"/>
  </cols>
  <sheetData>
    <row r="1" spans="1:150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150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150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150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150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150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150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</row>
    <row r="8" spans="1:150" s="16" customFormat="1" ht="66.75" customHeight="1" x14ac:dyDescent="0.3">
      <c r="A8" s="15"/>
      <c r="B8" s="15" t="s">
        <v>70</v>
      </c>
      <c r="C8" s="14" t="s">
        <v>25</v>
      </c>
      <c r="D8" s="14" t="s">
        <v>26</v>
      </c>
      <c r="E8" s="14">
        <v>41237</v>
      </c>
      <c r="F8" s="15"/>
      <c r="G8" s="14"/>
      <c r="H8" s="15" t="s">
        <v>62</v>
      </c>
      <c r="I8" s="15" t="s">
        <v>88</v>
      </c>
      <c r="J8" s="14" t="s">
        <v>89</v>
      </c>
      <c r="K8" s="15"/>
      <c r="L8" s="14" t="s">
        <v>84</v>
      </c>
      <c r="M8" s="12" t="s">
        <v>97</v>
      </c>
      <c r="N8" s="15" t="s">
        <v>87</v>
      </c>
      <c r="O8" s="15" t="s">
        <v>101</v>
      </c>
      <c r="P8" s="15" t="s">
        <v>103</v>
      </c>
      <c r="Q8" s="15" t="s">
        <v>103</v>
      </c>
      <c r="R8" s="15"/>
      <c r="S8" s="15"/>
      <c r="T8" s="15"/>
      <c r="U8" s="15"/>
      <c r="V8" s="15"/>
      <c r="W8" s="15"/>
      <c r="X8" s="15"/>
      <c r="Y8" s="12" t="s">
        <v>29</v>
      </c>
      <c r="Z8" s="12" t="s">
        <v>29</v>
      </c>
      <c r="AA8" s="12" t="s">
        <v>29</v>
      </c>
      <c r="AB8" s="12" t="s">
        <v>29</v>
      </c>
      <c r="AC8" s="12" t="s">
        <v>29</v>
      </c>
      <c r="AD8" s="12" t="s">
        <v>29</v>
      </c>
      <c r="AE8" s="12" t="s">
        <v>29</v>
      </c>
      <c r="AF8" s="12" t="s">
        <v>29</v>
      </c>
      <c r="AG8" s="12" t="s">
        <v>29</v>
      </c>
      <c r="AH8" s="12" t="s">
        <v>29</v>
      </c>
      <c r="AI8" s="12" t="s">
        <v>29</v>
      </c>
      <c r="AJ8" s="12" t="s">
        <v>29</v>
      </c>
      <c r="AK8" s="12" t="s">
        <v>29</v>
      </c>
      <c r="AL8" s="12" t="s">
        <v>43</v>
      </c>
      <c r="AM8" s="12" t="s">
        <v>43</v>
      </c>
      <c r="AN8" s="12" t="s">
        <v>43</v>
      </c>
      <c r="AO8" s="12" t="s">
        <v>43</v>
      </c>
      <c r="AP8" s="12" t="s">
        <v>50</v>
      </c>
      <c r="AQ8" s="12" t="s">
        <v>50</v>
      </c>
      <c r="AR8" s="12" t="s">
        <v>50</v>
      </c>
      <c r="AS8" s="12" t="s">
        <v>50</v>
      </c>
      <c r="AT8" s="12" t="s">
        <v>50</v>
      </c>
      <c r="AU8" s="12" t="s">
        <v>56</v>
      </c>
      <c r="AV8" s="12" t="s">
        <v>56</v>
      </c>
      <c r="AW8" s="12" t="s">
        <v>56</v>
      </c>
      <c r="AX8" s="12" t="s">
        <v>56</v>
      </c>
      <c r="AY8" s="12" t="s">
        <v>56</v>
      </c>
      <c r="AZ8" s="12" t="s">
        <v>56</v>
      </c>
      <c r="BA8" s="12" t="s">
        <v>56</v>
      </c>
      <c r="BB8" s="12" t="s">
        <v>56</v>
      </c>
      <c r="BC8" s="12" t="s">
        <v>56</v>
      </c>
      <c r="BD8" s="12" t="s">
        <v>81</v>
      </c>
      <c r="BE8" s="12" t="s">
        <v>56</v>
      </c>
      <c r="BF8" s="12" t="s">
        <v>86</v>
      </c>
      <c r="BG8" s="12" t="s">
        <v>92</v>
      </c>
      <c r="BH8" s="12" t="s">
        <v>97</v>
      </c>
      <c r="BI8" s="12" t="s">
        <v>106</v>
      </c>
    </row>
    <row r="9" spans="1:150" s="16" customFormat="1" ht="66.75" customHeight="1" x14ac:dyDescent="0.3">
      <c r="A9" s="15"/>
      <c r="B9" s="15" t="s">
        <v>67</v>
      </c>
      <c r="C9" s="14" t="s">
        <v>28</v>
      </c>
      <c r="D9" s="14" t="s">
        <v>26</v>
      </c>
      <c r="E9" s="14">
        <v>41239</v>
      </c>
      <c r="F9" s="15"/>
      <c r="G9" s="14"/>
      <c r="H9" s="15" t="s">
        <v>65</v>
      </c>
      <c r="I9" s="15" t="s">
        <v>126</v>
      </c>
      <c r="J9" s="14" t="s">
        <v>127</v>
      </c>
      <c r="K9" s="14" t="s">
        <v>84</v>
      </c>
      <c r="L9" s="12" t="s">
        <v>146</v>
      </c>
      <c r="M9" s="15" t="s">
        <v>87</v>
      </c>
      <c r="N9" s="15" t="s">
        <v>103</v>
      </c>
      <c r="O9" s="19"/>
      <c r="P9" s="15"/>
      <c r="Q9" s="20">
        <v>5100</v>
      </c>
      <c r="R9" s="22" t="s">
        <v>122</v>
      </c>
      <c r="S9" s="20"/>
      <c r="T9" s="15">
        <f t="shared" ref="T9" si="0">SUM(BY9)</f>
        <v>0</v>
      </c>
      <c r="U9" s="15" t="s">
        <v>139</v>
      </c>
      <c r="V9" s="15" t="s">
        <v>143</v>
      </c>
      <c r="W9" s="15" t="s">
        <v>144</v>
      </c>
      <c r="X9" s="15"/>
      <c r="Y9" s="15"/>
      <c r="Z9" s="15"/>
      <c r="AA9" s="15"/>
      <c r="AB9" s="15"/>
      <c r="AC9" s="15"/>
      <c r="AD9" s="15" t="s">
        <v>144</v>
      </c>
      <c r="AE9" s="12" t="s">
        <v>29</v>
      </c>
      <c r="AF9" s="12" t="s">
        <v>29</v>
      </c>
      <c r="AG9" s="12" t="s">
        <v>29</v>
      </c>
      <c r="AH9" s="12" t="s">
        <v>29</v>
      </c>
      <c r="AI9" s="12" t="s">
        <v>29</v>
      </c>
      <c r="AJ9" s="12" t="s">
        <v>29</v>
      </c>
      <c r="AK9" s="12" t="s">
        <v>29</v>
      </c>
      <c r="AL9" s="12" t="s">
        <v>29</v>
      </c>
      <c r="AM9" s="12" t="s">
        <v>29</v>
      </c>
      <c r="AN9" s="12" t="s">
        <v>29</v>
      </c>
      <c r="AO9" s="12" t="s">
        <v>29</v>
      </c>
      <c r="AP9" s="12" t="s">
        <v>29</v>
      </c>
      <c r="AQ9" s="12" t="s">
        <v>29</v>
      </c>
      <c r="AR9" s="12" t="s">
        <v>43</v>
      </c>
      <c r="AS9" s="12" t="s">
        <v>43</v>
      </c>
      <c r="AT9" s="12" t="s">
        <v>43</v>
      </c>
      <c r="AU9" s="12" t="s">
        <v>43</v>
      </c>
      <c r="AV9" s="12" t="s">
        <v>50</v>
      </c>
      <c r="AW9" s="12" t="s">
        <v>50</v>
      </c>
      <c r="AX9" s="12" t="s">
        <v>50</v>
      </c>
      <c r="AY9" s="12" t="s">
        <v>50</v>
      </c>
      <c r="AZ9" s="12" t="s">
        <v>50</v>
      </c>
      <c r="BA9" s="12" t="s">
        <v>56</v>
      </c>
      <c r="BB9" s="12" t="s">
        <v>56</v>
      </c>
      <c r="BC9" s="12" t="s">
        <v>56</v>
      </c>
      <c r="BD9" s="12" t="s">
        <v>56</v>
      </c>
      <c r="BE9" s="12" t="s">
        <v>56</v>
      </c>
      <c r="BF9" s="12" t="s">
        <v>56</v>
      </c>
      <c r="BG9" s="12" t="s">
        <v>56</v>
      </c>
      <c r="BH9" s="12" t="s">
        <v>56</v>
      </c>
      <c r="BI9" s="12" t="s">
        <v>56</v>
      </c>
      <c r="BJ9" s="12" t="s">
        <v>81</v>
      </c>
      <c r="BK9" s="12" t="s">
        <v>56</v>
      </c>
      <c r="BL9" s="12" t="s">
        <v>86</v>
      </c>
      <c r="BM9" s="12" t="s">
        <v>92</v>
      </c>
      <c r="BN9" s="12" t="s">
        <v>99</v>
      </c>
      <c r="BO9" s="12" t="s">
        <v>99</v>
      </c>
      <c r="BP9" s="12" t="s">
        <v>110</v>
      </c>
      <c r="BQ9" s="12" t="s">
        <v>110</v>
      </c>
      <c r="BR9" s="12" t="s">
        <v>128</v>
      </c>
      <c r="BS9" s="12" t="s">
        <v>133</v>
      </c>
      <c r="BT9" s="12" t="s">
        <v>135</v>
      </c>
      <c r="BU9" s="12" t="s">
        <v>138</v>
      </c>
      <c r="BV9" s="12" t="s">
        <v>141</v>
      </c>
      <c r="BW9" s="12" t="s">
        <v>146</v>
      </c>
      <c r="BX9" s="12" t="s">
        <v>146</v>
      </c>
    </row>
    <row r="10" spans="1:150" s="16" customFormat="1" ht="66.75" customHeight="1" x14ac:dyDescent="0.3">
      <c r="A10" s="15"/>
      <c r="B10" s="15" t="s">
        <v>100</v>
      </c>
      <c r="C10" s="14" t="s">
        <v>66</v>
      </c>
      <c r="D10" s="14" t="s">
        <v>26</v>
      </c>
      <c r="E10" s="14">
        <v>710236</v>
      </c>
      <c r="F10" s="15"/>
      <c r="G10" s="14"/>
      <c r="H10" s="15" t="s">
        <v>77</v>
      </c>
      <c r="I10" s="15"/>
      <c r="J10" s="15"/>
      <c r="K10" s="14" t="s">
        <v>78</v>
      </c>
      <c r="L10" s="12" t="s">
        <v>151</v>
      </c>
      <c r="M10" s="15" t="s">
        <v>140</v>
      </c>
      <c r="N10" s="15"/>
      <c r="O10" s="19"/>
      <c r="P10" s="15"/>
      <c r="Q10" s="20"/>
      <c r="R10" s="23"/>
      <c r="S10" s="20"/>
      <c r="T10" s="15">
        <f t="shared" ref="T10" si="1">SUM(CA10)</f>
        <v>0</v>
      </c>
      <c r="U10" s="15" t="s">
        <v>143</v>
      </c>
      <c r="V10" s="14" t="s">
        <v>149</v>
      </c>
      <c r="W10" s="14" t="s">
        <v>155</v>
      </c>
      <c r="X10" s="15"/>
      <c r="Y10" s="15"/>
      <c r="Z10" s="15"/>
      <c r="AA10" s="15"/>
      <c r="AB10" s="15"/>
      <c r="AC10" s="15"/>
      <c r="AD10" s="15" t="s">
        <v>154</v>
      </c>
      <c r="AE10" s="12" t="s">
        <v>29</v>
      </c>
      <c r="AF10" s="12" t="s">
        <v>29</v>
      </c>
      <c r="AG10" s="12" t="s">
        <v>29</v>
      </c>
      <c r="AH10" s="12" t="s">
        <v>29</v>
      </c>
      <c r="AI10" s="12" t="s">
        <v>29</v>
      </c>
      <c r="AJ10" s="12" t="s">
        <v>29</v>
      </c>
      <c r="AK10" s="12" t="s">
        <v>29</v>
      </c>
      <c r="AL10" s="12" t="s">
        <v>29</v>
      </c>
      <c r="AM10" s="12" t="s">
        <v>29</v>
      </c>
      <c r="AN10" s="12" t="s">
        <v>29</v>
      </c>
      <c r="AO10" s="12" t="s">
        <v>29</v>
      </c>
      <c r="AP10" s="12" t="s">
        <v>29</v>
      </c>
      <c r="AQ10" s="12" t="s">
        <v>29</v>
      </c>
      <c r="AR10" s="12" t="s">
        <v>43</v>
      </c>
      <c r="AS10" s="12" t="s">
        <v>43</v>
      </c>
      <c r="AT10" s="12" t="s">
        <v>43</v>
      </c>
      <c r="AU10" s="12" t="s">
        <v>43</v>
      </c>
      <c r="AV10" s="12" t="s">
        <v>49</v>
      </c>
      <c r="AW10" s="12" t="s">
        <v>49</v>
      </c>
      <c r="AX10" s="12" t="s">
        <v>49</v>
      </c>
      <c r="AY10" s="12" t="s">
        <v>49</v>
      </c>
      <c r="AZ10" s="12" t="s">
        <v>49</v>
      </c>
      <c r="BA10" s="12" t="s">
        <v>49</v>
      </c>
      <c r="BB10" s="12" t="s">
        <v>49</v>
      </c>
      <c r="BC10" s="12" t="s">
        <v>49</v>
      </c>
      <c r="BD10" s="12" t="s">
        <v>49</v>
      </c>
      <c r="BE10" s="12" t="s">
        <v>49</v>
      </c>
      <c r="BF10" s="12" t="s">
        <v>49</v>
      </c>
      <c r="BG10" s="12" t="s">
        <v>49</v>
      </c>
      <c r="BH10" s="12" t="s">
        <v>79</v>
      </c>
      <c r="BI10" s="12" t="s">
        <v>79</v>
      </c>
      <c r="BJ10" s="12" t="s">
        <v>79</v>
      </c>
      <c r="BK10" s="12" t="s">
        <v>79</v>
      </c>
      <c r="BL10" s="12" t="s">
        <v>79</v>
      </c>
      <c r="BM10" s="12" t="s">
        <v>79</v>
      </c>
      <c r="BN10" s="12" t="s">
        <v>79</v>
      </c>
      <c r="BO10" s="12" t="s">
        <v>108</v>
      </c>
      <c r="BP10" s="12" t="s">
        <v>108</v>
      </c>
      <c r="BQ10" s="12" t="s">
        <v>108</v>
      </c>
      <c r="BR10" s="12" t="s">
        <v>108</v>
      </c>
      <c r="BS10" s="12" t="s">
        <v>108</v>
      </c>
      <c r="BT10" s="12" t="s">
        <v>134</v>
      </c>
      <c r="BU10" s="12" t="s">
        <v>92</v>
      </c>
      <c r="BV10" s="12" t="s">
        <v>145</v>
      </c>
      <c r="BW10" s="12" t="s">
        <v>148</v>
      </c>
      <c r="BX10" s="12" t="s">
        <v>151</v>
      </c>
      <c r="BY10" s="12" t="s">
        <v>153</v>
      </c>
      <c r="BZ10" s="12" t="s">
        <v>153</v>
      </c>
    </row>
    <row r="11" spans="1:150" s="16" customFormat="1" ht="66.75" customHeight="1" x14ac:dyDescent="0.3">
      <c r="A11" s="15"/>
      <c r="B11" s="15" t="s">
        <v>95</v>
      </c>
      <c r="C11" s="14" t="s">
        <v>48</v>
      </c>
      <c r="D11" s="14" t="s">
        <v>26</v>
      </c>
      <c r="E11" s="14">
        <v>41250</v>
      </c>
      <c r="F11" s="15"/>
      <c r="G11" s="14"/>
      <c r="H11" s="15" t="s">
        <v>74</v>
      </c>
      <c r="I11" s="15"/>
      <c r="J11" s="15"/>
      <c r="K11" s="14" t="s">
        <v>104</v>
      </c>
      <c r="L11" s="12" t="s">
        <v>170</v>
      </c>
      <c r="M11" s="15" t="s">
        <v>107</v>
      </c>
      <c r="N11" s="15" t="s">
        <v>130</v>
      </c>
      <c r="O11" s="19" t="s">
        <v>119</v>
      </c>
      <c r="P11" s="15" t="s">
        <v>120</v>
      </c>
      <c r="Q11" s="20">
        <v>5100</v>
      </c>
      <c r="R11" s="23"/>
      <c r="S11" s="20">
        <f>SUM(CI11-10)*200</f>
        <v>-2000</v>
      </c>
      <c r="T11" s="15">
        <f t="shared" ref="T11" si="2">SUM(CI11)</f>
        <v>0</v>
      </c>
      <c r="U11" s="15" t="s">
        <v>165</v>
      </c>
      <c r="V11" s="15" t="s">
        <v>169</v>
      </c>
      <c r="W11" s="15" t="s">
        <v>171</v>
      </c>
      <c r="X11" s="15"/>
      <c r="Y11" s="15"/>
      <c r="Z11" s="15"/>
      <c r="AA11" s="15"/>
      <c r="AB11" s="15"/>
      <c r="AC11" s="15"/>
      <c r="AD11" s="15" t="s">
        <v>171</v>
      </c>
      <c r="AE11" s="12" t="s">
        <v>29</v>
      </c>
      <c r="AF11" s="12" t="s">
        <v>29</v>
      </c>
      <c r="AG11" s="12" t="s">
        <v>29</v>
      </c>
      <c r="AH11" s="12" t="s">
        <v>29</v>
      </c>
      <c r="AI11" s="12" t="s">
        <v>29</v>
      </c>
      <c r="AJ11" s="12" t="s">
        <v>29</v>
      </c>
      <c r="AK11" s="12" t="s">
        <v>29</v>
      </c>
      <c r="AL11" s="12" t="s">
        <v>29</v>
      </c>
      <c r="AM11" s="12" t="s">
        <v>29</v>
      </c>
      <c r="AN11" s="12" t="s">
        <v>29</v>
      </c>
      <c r="AO11" s="12" t="s">
        <v>29</v>
      </c>
      <c r="AP11" s="12" t="s">
        <v>29</v>
      </c>
      <c r="AQ11" s="12" t="s">
        <v>29</v>
      </c>
      <c r="AR11" s="12" t="s">
        <v>43</v>
      </c>
      <c r="AS11" s="12" t="s">
        <v>43</v>
      </c>
      <c r="AT11" s="12" t="s">
        <v>43</v>
      </c>
      <c r="AU11" s="12" t="s">
        <v>43</v>
      </c>
      <c r="AV11" s="12" t="s">
        <v>49</v>
      </c>
      <c r="AW11" s="12" t="s">
        <v>49</v>
      </c>
      <c r="AX11" s="12" t="s">
        <v>49</v>
      </c>
      <c r="AY11" s="12" t="s">
        <v>49</v>
      </c>
      <c r="AZ11" s="12" t="s">
        <v>49</v>
      </c>
      <c r="BA11" s="12" t="s">
        <v>49</v>
      </c>
      <c r="BB11" s="12" t="s">
        <v>49</v>
      </c>
      <c r="BC11" s="12" t="s">
        <v>49</v>
      </c>
      <c r="BD11" s="12" t="s">
        <v>49</v>
      </c>
      <c r="BE11" s="12" t="s">
        <v>49</v>
      </c>
      <c r="BF11" s="12" t="s">
        <v>49</v>
      </c>
      <c r="BG11" s="12" t="s">
        <v>72</v>
      </c>
      <c r="BH11" s="12" t="s">
        <v>72</v>
      </c>
      <c r="BI11" s="12" t="s">
        <v>72</v>
      </c>
      <c r="BJ11" s="12" t="s">
        <v>72</v>
      </c>
      <c r="BK11" s="12" t="s">
        <v>85</v>
      </c>
      <c r="BL11" s="12" t="s">
        <v>72</v>
      </c>
      <c r="BM11" s="12" t="s">
        <v>72</v>
      </c>
      <c r="BN11" s="12" t="s">
        <v>85</v>
      </c>
      <c r="BO11" s="12" t="s">
        <v>85</v>
      </c>
      <c r="BP11" s="12" t="s">
        <v>112</v>
      </c>
      <c r="BQ11" s="12" t="s">
        <v>125</v>
      </c>
      <c r="BR11" s="12" t="s">
        <v>125</v>
      </c>
      <c r="BS11" s="12" t="s">
        <v>98</v>
      </c>
      <c r="BT11" s="12" t="s">
        <v>98</v>
      </c>
      <c r="BU11" s="12" t="s">
        <v>98</v>
      </c>
      <c r="BV11" s="12" t="s">
        <v>98</v>
      </c>
      <c r="BW11" s="12" t="s">
        <v>98</v>
      </c>
      <c r="BX11" s="12" t="s">
        <v>98</v>
      </c>
      <c r="BY11" s="12" t="s">
        <v>98</v>
      </c>
      <c r="BZ11" s="12" t="s">
        <v>98</v>
      </c>
      <c r="CA11" s="12" t="s">
        <v>98</v>
      </c>
      <c r="CB11" s="12" t="s">
        <v>98</v>
      </c>
      <c r="CC11" s="12" t="s">
        <v>98</v>
      </c>
      <c r="CD11" s="12" t="s">
        <v>98</v>
      </c>
      <c r="CE11" s="12" t="s">
        <v>162</v>
      </c>
      <c r="CF11" s="12" t="s">
        <v>166</v>
      </c>
      <c r="CG11" s="12" t="s">
        <v>168</v>
      </c>
      <c r="CH11" s="12" t="s">
        <v>170</v>
      </c>
    </row>
    <row r="12" spans="1:150" s="16" customFormat="1" ht="66.75" customHeight="1" x14ac:dyDescent="0.3">
      <c r="A12" s="15"/>
      <c r="B12" s="15" t="s">
        <v>156</v>
      </c>
      <c r="C12" s="14" t="s">
        <v>66</v>
      </c>
      <c r="D12" s="14" t="s">
        <v>26</v>
      </c>
      <c r="E12" s="14">
        <v>710579</v>
      </c>
      <c r="F12" s="15"/>
      <c r="G12" s="14"/>
      <c r="H12" s="15" t="s">
        <v>157</v>
      </c>
      <c r="I12" s="15" t="s">
        <v>194</v>
      </c>
      <c r="J12" s="15" t="s">
        <v>195</v>
      </c>
      <c r="K12" s="14" t="s">
        <v>174</v>
      </c>
      <c r="L12" s="12" t="s">
        <v>206</v>
      </c>
      <c r="M12" s="15" t="s">
        <v>176</v>
      </c>
      <c r="N12" s="15" t="s">
        <v>182</v>
      </c>
      <c r="O12" s="19" t="s">
        <v>183</v>
      </c>
      <c r="P12" s="15" t="s">
        <v>184</v>
      </c>
      <c r="Q12" s="20">
        <v>5100</v>
      </c>
      <c r="R12" s="23"/>
      <c r="S12" s="24" t="s">
        <v>187</v>
      </c>
      <c r="T12" s="20"/>
      <c r="U12" s="15">
        <f>SUM(1+CX12)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 t="s">
        <v>131</v>
      </c>
      <c r="BT12" s="12" t="s">
        <v>131</v>
      </c>
      <c r="BU12" s="12" t="s">
        <v>131</v>
      </c>
      <c r="BV12" s="12" t="s">
        <v>131</v>
      </c>
      <c r="BW12" s="12" t="s">
        <v>131</v>
      </c>
      <c r="BX12" s="12" t="s">
        <v>131</v>
      </c>
      <c r="BY12" s="12" t="s">
        <v>131</v>
      </c>
      <c r="BZ12" s="12" t="s">
        <v>131</v>
      </c>
      <c r="CA12" s="12" t="s">
        <v>131</v>
      </c>
      <c r="CB12" s="12" t="s">
        <v>131</v>
      </c>
      <c r="CC12" s="12" t="s">
        <v>131</v>
      </c>
      <c r="CD12" s="12" t="s">
        <v>131</v>
      </c>
      <c r="CE12" s="12" t="s">
        <v>131</v>
      </c>
      <c r="CF12" s="12" t="s">
        <v>131</v>
      </c>
      <c r="CG12" s="12" t="s">
        <v>131</v>
      </c>
      <c r="CH12" s="12" t="s">
        <v>131</v>
      </c>
      <c r="CI12" s="12" t="s">
        <v>131</v>
      </c>
      <c r="CJ12" s="12" t="s">
        <v>175</v>
      </c>
      <c r="CK12" s="12" t="s">
        <v>178</v>
      </c>
      <c r="CL12" s="12" t="s">
        <v>180</v>
      </c>
      <c r="CM12" s="12" t="s">
        <v>180</v>
      </c>
      <c r="CN12" s="12" t="s">
        <v>188</v>
      </c>
      <c r="CO12" s="12" t="s">
        <v>188</v>
      </c>
      <c r="CP12" s="12" t="s">
        <v>191</v>
      </c>
      <c r="CQ12" s="12" t="s">
        <v>193</v>
      </c>
      <c r="CR12" s="12" t="s">
        <v>197</v>
      </c>
      <c r="CS12" s="12" t="s">
        <v>197</v>
      </c>
      <c r="CT12" s="12" t="s">
        <v>200</v>
      </c>
      <c r="CU12" s="12" t="s">
        <v>202</v>
      </c>
      <c r="CV12" s="12" t="s">
        <v>203</v>
      </c>
      <c r="CW12" s="12" t="s">
        <v>206</v>
      </c>
    </row>
    <row r="13" spans="1:150" s="16" customFormat="1" ht="66.75" customHeight="1" x14ac:dyDescent="0.3">
      <c r="A13" s="15"/>
      <c r="B13" s="15" t="s">
        <v>219</v>
      </c>
      <c r="C13" s="14" t="s">
        <v>215</v>
      </c>
      <c r="D13" s="14" t="s">
        <v>213</v>
      </c>
      <c r="E13" s="14">
        <v>59625</v>
      </c>
      <c r="F13" s="15"/>
      <c r="G13" s="14"/>
      <c r="H13" s="15" t="s">
        <v>217</v>
      </c>
      <c r="I13" s="25"/>
      <c r="J13" s="25"/>
      <c r="K13" s="14" t="s">
        <v>224</v>
      </c>
      <c r="L13" s="27" t="s">
        <v>253</v>
      </c>
      <c r="M13" s="15" t="s">
        <v>226</v>
      </c>
      <c r="N13" s="15" t="s">
        <v>243</v>
      </c>
      <c r="O13" s="19" t="s">
        <v>245</v>
      </c>
      <c r="P13" s="15" t="s">
        <v>244</v>
      </c>
      <c r="Q13" s="20">
        <v>5100</v>
      </c>
      <c r="R13" s="24"/>
      <c r="S13" s="24"/>
      <c r="T13" s="24"/>
      <c r="U13" s="20">
        <v>0</v>
      </c>
      <c r="V13" s="15">
        <f t="shared" ref="V13" si="3">SUM(DR13)</f>
        <v>0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 t="s">
        <v>216</v>
      </c>
      <c r="DC13" s="12" t="s">
        <v>216</v>
      </c>
      <c r="DD13" s="12" t="s">
        <v>223</v>
      </c>
      <c r="DE13" s="12" t="s">
        <v>227</v>
      </c>
      <c r="DF13" s="12" t="s">
        <v>229</v>
      </c>
      <c r="DG13" s="12" t="s">
        <v>231</v>
      </c>
      <c r="DH13" s="12" t="s">
        <v>233</v>
      </c>
      <c r="DI13" s="12" t="s">
        <v>233</v>
      </c>
      <c r="DJ13" s="12" t="s">
        <v>238</v>
      </c>
      <c r="DK13" s="12" t="s">
        <v>241</v>
      </c>
      <c r="DL13" s="12" t="s">
        <v>98</v>
      </c>
      <c r="DM13" s="12" t="s">
        <v>247</v>
      </c>
      <c r="DN13" s="12" t="s">
        <v>249</v>
      </c>
      <c r="DO13" s="27" t="s">
        <v>251</v>
      </c>
      <c r="DP13" s="27" t="s">
        <v>253</v>
      </c>
      <c r="DQ13" s="27" t="s">
        <v>253</v>
      </c>
    </row>
    <row r="14" spans="1:150" ht="151.80000000000001" x14ac:dyDescent="0.3">
      <c r="B14" s="15" t="s">
        <v>93</v>
      </c>
      <c r="C14" s="14" t="s">
        <v>28</v>
      </c>
      <c r="D14" s="14" t="s">
        <v>26</v>
      </c>
      <c r="E14" s="14">
        <v>41241</v>
      </c>
      <c r="F14" s="15"/>
      <c r="G14" s="14"/>
      <c r="H14" s="15" t="s">
        <v>76</v>
      </c>
      <c r="I14" s="25"/>
      <c r="J14" s="25"/>
      <c r="K14" s="14" t="s">
        <v>104</v>
      </c>
      <c r="L14" s="12" t="s">
        <v>267</v>
      </c>
      <c r="M14" s="15" t="s">
        <v>107</v>
      </c>
      <c r="N14" s="15" t="s">
        <v>124</v>
      </c>
      <c r="O14" s="19" t="s">
        <v>119</v>
      </c>
      <c r="P14" s="15" t="s">
        <v>120</v>
      </c>
      <c r="Q14" s="20">
        <v>5100</v>
      </c>
      <c r="R14" s="24"/>
      <c r="S14" s="20">
        <v>4200</v>
      </c>
      <c r="T14" s="20">
        <v>5800</v>
      </c>
      <c r="U14" s="20">
        <f>SUM(DY14)*200</f>
        <v>0</v>
      </c>
      <c r="V14" s="15">
        <f>SUM(61+DY14)</f>
        <v>61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2" t="s">
        <v>29</v>
      </c>
      <c r="AH14" s="12" t="s">
        <v>29</v>
      </c>
      <c r="AI14" s="12" t="s">
        <v>29</v>
      </c>
      <c r="AJ14" s="12" t="s">
        <v>29</v>
      </c>
      <c r="AK14" s="12" t="s">
        <v>29</v>
      </c>
      <c r="AL14" s="12" t="s">
        <v>29</v>
      </c>
      <c r="AM14" s="12" t="s">
        <v>29</v>
      </c>
      <c r="AN14" s="12" t="s">
        <v>29</v>
      </c>
      <c r="AO14" s="12" t="s">
        <v>29</v>
      </c>
      <c r="AP14" s="12" t="s">
        <v>29</v>
      </c>
      <c r="AQ14" s="12" t="s">
        <v>29</v>
      </c>
      <c r="AR14" s="12" t="s">
        <v>29</v>
      </c>
      <c r="AS14" s="12" t="s">
        <v>29</v>
      </c>
      <c r="AT14" s="12" t="s">
        <v>43</v>
      </c>
      <c r="AU14" s="12" t="s">
        <v>43</v>
      </c>
      <c r="AV14" s="12" t="s">
        <v>43</v>
      </c>
      <c r="AW14" s="12" t="s">
        <v>43</v>
      </c>
      <c r="AX14" s="12" t="s">
        <v>49</v>
      </c>
      <c r="AY14" s="12" t="s">
        <v>49</v>
      </c>
      <c r="AZ14" s="12" t="s">
        <v>49</v>
      </c>
      <c r="BA14" s="12" t="s">
        <v>49</v>
      </c>
      <c r="BB14" s="12" t="s">
        <v>49</v>
      </c>
      <c r="BC14" s="12" t="s">
        <v>49</v>
      </c>
      <c r="BD14" s="12" t="s">
        <v>49</v>
      </c>
      <c r="BE14" s="12" t="s">
        <v>49</v>
      </c>
      <c r="BF14" s="12" t="s">
        <v>49</v>
      </c>
      <c r="BG14" s="12" t="s">
        <v>49</v>
      </c>
      <c r="BH14" s="12" t="s">
        <v>49</v>
      </c>
      <c r="BI14" s="12" t="s">
        <v>72</v>
      </c>
      <c r="BJ14" s="12" t="s">
        <v>72</v>
      </c>
      <c r="BK14" s="12" t="s">
        <v>72</v>
      </c>
      <c r="BL14" s="12" t="s">
        <v>72</v>
      </c>
      <c r="BM14" s="12" t="s">
        <v>85</v>
      </c>
      <c r="BN14" s="12" t="s">
        <v>72</v>
      </c>
      <c r="BO14" s="12" t="s">
        <v>72</v>
      </c>
      <c r="BP14" s="12" t="s">
        <v>85</v>
      </c>
      <c r="BQ14" s="12" t="s">
        <v>85</v>
      </c>
      <c r="BR14" s="12" t="s">
        <v>111</v>
      </c>
      <c r="BS14" s="12" t="s">
        <v>98</v>
      </c>
      <c r="BT14" s="12" t="s">
        <v>98</v>
      </c>
      <c r="BU14" s="12" t="s">
        <v>98</v>
      </c>
      <c r="BV14" s="12" t="s">
        <v>98</v>
      </c>
      <c r="BW14" s="12" t="s">
        <v>98</v>
      </c>
      <c r="BX14" s="12" t="s">
        <v>98</v>
      </c>
      <c r="BY14" s="12" t="s">
        <v>98</v>
      </c>
      <c r="BZ14" s="12" t="s">
        <v>98</v>
      </c>
      <c r="CA14" s="12" t="s">
        <v>98</v>
      </c>
      <c r="CB14" s="12" t="s">
        <v>98</v>
      </c>
      <c r="CC14" s="12" t="s">
        <v>98</v>
      </c>
      <c r="CD14" s="12" t="s">
        <v>98</v>
      </c>
      <c r="CE14" s="12" t="s">
        <v>98</v>
      </c>
      <c r="CF14" s="12" t="s">
        <v>98</v>
      </c>
      <c r="CG14" s="12" t="s">
        <v>98</v>
      </c>
      <c r="CH14" s="12" t="s">
        <v>98</v>
      </c>
      <c r="CI14" s="12" t="s">
        <v>98</v>
      </c>
      <c r="CJ14" s="12" t="s">
        <v>98</v>
      </c>
      <c r="CK14" s="12" t="s">
        <v>98</v>
      </c>
      <c r="CL14" s="12" t="s">
        <v>98</v>
      </c>
      <c r="CM14" s="12" t="s">
        <v>98</v>
      </c>
      <c r="CN14" s="12" t="s">
        <v>98</v>
      </c>
      <c r="CO14" s="12" t="s">
        <v>98</v>
      </c>
      <c r="CP14" s="12" t="s">
        <v>98</v>
      </c>
      <c r="CQ14" s="12" t="s">
        <v>98</v>
      </c>
      <c r="CR14" s="12" t="s">
        <v>98</v>
      </c>
      <c r="CS14" s="12" t="s">
        <v>98</v>
      </c>
      <c r="CT14" s="12" t="s">
        <v>98</v>
      </c>
      <c r="CU14" s="12" t="s">
        <v>98</v>
      </c>
      <c r="CV14" s="12" t="s">
        <v>98</v>
      </c>
      <c r="CW14" s="12" t="s">
        <v>98</v>
      </c>
      <c r="CX14" s="12" t="s">
        <v>98</v>
      </c>
      <c r="CY14" s="12" t="s">
        <v>98</v>
      </c>
      <c r="CZ14" s="12" t="s">
        <v>98</v>
      </c>
      <c r="DA14" s="12" t="s">
        <v>98</v>
      </c>
      <c r="DB14" s="12" t="s">
        <v>98</v>
      </c>
      <c r="DC14" s="12" t="s">
        <v>98</v>
      </c>
      <c r="DD14" s="12" t="s">
        <v>98</v>
      </c>
      <c r="DE14" s="12" t="s">
        <v>98</v>
      </c>
      <c r="DF14" s="12" t="s">
        <v>98</v>
      </c>
      <c r="DG14" s="12" t="s">
        <v>98</v>
      </c>
      <c r="DH14" s="12" t="s">
        <v>98</v>
      </c>
      <c r="DI14" s="12" t="s">
        <v>98</v>
      </c>
      <c r="DJ14" s="12" t="s">
        <v>98</v>
      </c>
      <c r="DK14" s="12" t="s">
        <v>98</v>
      </c>
      <c r="DL14" s="12" t="s">
        <v>98</v>
      </c>
      <c r="DM14" s="12" t="s">
        <v>98</v>
      </c>
      <c r="DN14" s="12" t="s">
        <v>98</v>
      </c>
      <c r="DO14" s="12" t="s">
        <v>98</v>
      </c>
      <c r="DP14" s="12" t="s">
        <v>254</v>
      </c>
      <c r="DQ14" s="12" t="s">
        <v>256</v>
      </c>
      <c r="DR14" s="12" t="s">
        <v>247</v>
      </c>
      <c r="DS14" s="12" t="s">
        <v>259</v>
      </c>
      <c r="DT14" s="12" t="s">
        <v>261</v>
      </c>
      <c r="DU14" s="12" t="s">
        <v>263</v>
      </c>
      <c r="DV14" s="12" t="s">
        <v>265</v>
      </c>
      <c r="DW14" s="12" t="s">
        <v>267</v>
      </c>
      <c r="DX14" s="12" t="s">
        <v>267</v>
      </c>
    </row>
    <row r="15" spans="1:150" ht="220.8" x14ac:dyDescent="0.3">
      <c r="B15" s="15" t="s">
        <v>211</v>
      </c>
      <c r="C15" s="14" t="s">
        <v>212</v>
      </c>
      <c r="D15" s="14" t="s">
        <v>213</v>
      </c>
      <c r="E15" s="14">
        <v>59826</v>
      </c>
      <c r="F15" s="15"/>
      <c r="G15" s="14"/>
      <c r="H15" s="15" t="s">
        <v>214</v>
      </c>
      <c r="I15" s="25"/>
      <c r="J15" s="25"/>
      <c r="K15" s="14" t="s">
        <v>224</v>
      </c>
      <c r="L15" s="12" t="s">
        <v>294</v>
      </c>
      <c r="M15" s="15" t="s">
        <v>226</v>
      </c>
      <c r="N15" s="15" t="s">
        <v>243</v>
      </c>
      <c r="O15" s="19" t="s">
        <v>245</v>
      </c>
      <c r="P15" s="15" t="s">
        <v>244</v>
      </c>
      <c r="Q15" s="20">
        <v>5100</v>
      </c>
      <c r="R15" s="24"/>
      <c r="S15" s="24"/>
      <c r="T15" s="24"/>
      <c r="U15" s="20">
        <v>6208.26</v>
      </c>
      <c r="V15" s="20">
        <f t="shared" ref="V15:V17" si="4">SUM(EU15)</f>
        <v>0</v>
      </c>
      <c r="W15" s="15">
        <f>SUM(29+EV15)</f>
        <v>29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 t="s">
        <v>216</v>
      </c>
      <c r="DD15" s="12" t="s">
        <v>216</v>
      </c>
      <c r="DE15" s="12" t="s">
        <v>223</v>
      </c>
      <c r="DF15" s="12" t="s">
        <v>227</v>
      </c>
      <c r="DG15" s="12" t="s">
        <v>229</v>
      </c>
      <c r="DH15" s="12" t="s">
        <v>231</v>
      </c>
      <c r="DI15" s="12" t="s">
        <v>231</v>
      </c>
      <c r="DJ15" s="12" t="s">
        <v>231</v>
      </c>
      <c r="DK15" s="12" t="s">
        <v>237</v>
      </c>
      <c r="DL15" s="12" t="s">
        <v>241</v>
      </c>
      <c r="DM15" s="12" t="s">
        <v>98</v>
      </c>
      <c r="DN15" s="12" t="s">
        <v>98</v>
      </c>
      <c r="DO15" s="12" t="s">
        <v>98</v>
      </c>
      <c r="DP15" s="12" t="s">
        <v>98</v>
      </c>
      <c r="DQ15" s="12" t="s">
        <v>98</v>
      </c>
      <c r="DR15" s="12" t="s">
        <v>98</v>
      </c>
      <c r="DS15" s="12" t="s">
        <v>98</v>
      </c>
      <c r="DT15" s="12" t="s">
        <v>98</v>
      </c>
      <c r="DU15" s="12" t="s">
        <v>98</v>
      </c>
      <c r="DV15" s="12" t="s">
        <v>98</v>
      </c>
      <c r="DW15" s="12" t="s">
        <v>98</v>
      </c>
      <c r="DX15" s="12" t="s">
        <v>98</v>
      </c>
      <c r="DY15" s="12" t="s">
        <v>98</v>
      </c>
      <c r="DZ15" s="12" t="s">
        <v>98</v>
      </c>
      <c r="EA15" s="12" t="s">
        <v>98</v>
      </c>
      <c r="EB15" s="12" t="s">
        <v>98</v>
      </c>
      <c r="EC15" s="12" t="s">
        <v>98</v>
      </c>
      <c r="ED15" s="12" t="s">
        <v>98</v>
      </c>
      <c r="EE15" s="12" t="s">
        <v>98</v>
      </c>
      <c r="EF15" s="12" t="s">
        <v>98</v>
      </c>
      <c r="EG15" s="12" t="s">
        <v>98</v>
      </c>
      <c r="EH15" s="12" t="s">
        <v>98</v>
      </c>
      <c r="EI15" s="12" t="s">
        <v>98</v>
      </c>
      <c r="EJ15" s="12" t="s">
        <v>98</v>
      </c>
      <c r="EK15" s="12" t="s">
        <v>98</v>
      </c>
      <c r="EL15" s="12" t="s">
        <v>98</v>
      </c>
      <c r="EM15" s="12" t="s">
        <v>98</v>
      </c>
      <c r="EN15" s="12" t="s">
        <v>98</v>
      </c>
      <c r="EO15" s="12" t="s">
        <v>98</v>
      </c>
      <c r="EP15" s="12" t="s">
        <v>287</v>
      </c>
      <c r="EQ15" s="12" t="s">
        <v>287</v>
      </c>
      <c r="ER15" s="12" t="s">
        <v>291</v>
      </c>
      <c r="ES15" s="12" t="s">
        <v>291</v>
      </c>
      <c r="ET15" s="12" t="s">
        <v>294</v>
      </c>
    </row>
    <row r="16" spans="1:150" ht="220.8" x14ac:dyDescent="0.3">
      <c r="B16" s="15" t="s">
        <v>218</v>
      </c>
      <c r="C16" s="14" t="s">
        <v>212</v>
      </c>
      <c r="D16" s="14" t="s">
        <v>213</v>
      </c>
      <c r="E16" s="14">
        <v>58960</v>
      </c>
      <c r="F16" s="15"/>
      <c r="G16" s="14"/>
      <c r="H16" s="15" t="s">
        <v>214</v>
      </c>
      <c r="I16" s="25"/>
      <c r="J16" s="25"/>
      <c r="K16" s="14" t="s">
        <v>224</v>
      </c>
      <c r="L16" s="12" t="s">
        <v>294</v>
      </c>
      <c r="M16" s="15" t="s">
        <v>226</v>
      </c>
      <c r="N16" s="15" t="s">
        <v>243</v>
      </c>
      <c r="O16" s="19" t="s">
        <v>245</v>
      </c>
      <c r="P16" s="15" t="s">
        <v>244</v>
      </c>
      <c r="Q16" s="20">
        <v>5100</v>
      </c>
      <c r="R16" s="24"/>
      <c r="S16" s="24"/>
      <c r="T16" s="24"/>
      <c r="U16" s="20">
        <v>6208.26</v>
      </c>
      <c r="V16" s="20">
        <f t="shared" si="4"/>
        <v>0</v>
      </c>
      <c r="W16" s="15">
        <f>SUM(29+EV16)</f>
        <v>29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 t="s">
        <v>216</v>
      </c>
      <c r="DD16" s="12" t="s">
        <v>216</v>
      </c>
      <c r="DE16" s="12" t="s">
        <v>223</v>
      </c>
      <c r="DF16" s="12" t="s">
        <v>227</v>
      </c>
      <c r="DG16" s="12" t="s">
        <v>229</v>
      </c>
      <c r="DH16" s="12" t="s">
        <v>231</v>
      </c>
      <c r="DI16" s="12" t="s">
        <v>233</v>
      </c>
      <c r="DJ16" s="12" t="s">
        <v>233</v>
      </c>
      <c r="DK16" s="12" t="s">
        <v>237</v>
      </c>
      <c r="DL16" s="12" t="s">
        <v>241</v>
      </c>
      <c r="DM16" s="12" t="s">
        <v>98</v>
      </c>
      <c r="DN16" s="12" t="s">
        <v>98</v>
      </c>
      <c r="DO16" s="12" t="s">
        <v>98</v>
      </c>
      <c r="DP16" s="12" t="s">
        <v>98</v>
      </c>
      <c r="DQ16" s="12" t="s">
        <v>98</v>
      </c>
      <c r="DR16" s="12" t="s">
        <v>98</v>
      </c>
      <c r="DS16" s="12" t="s">
        <v>98</v>
      </c>
      <c r="DT16" s="12" t="s">
        <v>98</v>
      </c>
      <c r="DU16" s="12" t="s">
        <v>98</v>
      </c>
      <c r="DV16" s="12" t="s">
        <v>98</v>
      </c>
      <c r="DW16" s="12" t="s">
        <v>98</v>
      </c>
      <c r="DX16" s="12" t="s">
        <v>98</v>
      </c>
      <c r="DY16" s="12" t="s">
        <v>98</v>
      </c>
      <c r="DZ16" s="12" t="s">
        <v>98</v>
      </c>
      <c r="EA16" s="12" t="s">
        <v>98</v>
      </c>
      <c r="EB16" s="12" t="s">
        <v>98</v>
      </c>
      <c r="EC16" s="12" t="s">
        <v>98</v>
      </c>
      <c r="ED16" s="12" t="s">
        <v>98</v>
      </c>
      <c r="EE16" s="12" t="s">
        <v>98</v>
      </c>
      <c r="EF16" s="12" t="s">
        <v>98</v>
      </c>
      <c r="EG16" s="12" t="s">
        <v>98</v>
      </c>
      <c r="EH16" s="12" t="s">
        <v>98</v>
      </c>
      <c r="EI16" s="12" t="s">
        <v>98</v>
      </c>
      <c r="EJ16" s="12" t="s">
        <v>98</v>
      </c>
      <c r="EK16" s="12" t="s">
        <v>98</v>
      </c>
      <c r="EL16" s="12" t="s">
        <v>98</v>
      </c>
      <c r="EM16" s="12" t="s">
        <v>98</v>
      </c>
      <c r="EN16" s="12" t="s">
        <v>98</v>
      </c>
      <c r="EO16" s="12" t="s">
        <v>98</v>
      </c>
      <c r="EP16" s="12" t="s">
        <v>287</v>
      </c>
      <c r="EQ16" s="12" t="s">
        <v>287</v>
      </c>
      <c r="ER16" s="12" t="s">
        <v>291</v>
      </c>
      <c r="ES16" s="12" t="s">
        <v>291</v>
      </c>
      <c r="ET16" s="12" t="s">
        <v>294</v>
      </c>
    </row>
    <row r="17" spans="2:150" ht="220.8" x14ac:dyDescent="0.3">
      <c r="B17" s="15" t="s">
        <v>220</v>
      </c>
      <c r="C17" s="14" t="s">
        <v>215</v>
      </c>
      <c r="D17" s="14" t="s">
        <v>213</v>
      </c>
      <c r="E17" s="14">
        <v>59626</v>
      </c>
      <c r="F17" s="15"/>
      <c r="G17" s="14"/>
      <c r="H17" s="15" t="s">
        <v>217</v>
      </c>
      <c r="I17" s="25"/>
      <c r="J17" s="25"/>
      <c r="K17" s="14" t="s">
        <v>224</v>
      </c>
      <c r="L17" s="12" t="s">
        <v>295</v>
      </c>
      <c r="M17" s="15" t="s">
        <v>226</v>
      </c>
      <c r="N17" s="15" t="s">
        <v>243</v>
      </c>
      <c r="O17" s="19" t="s">
        <v>245</v>
      </c>
      <c r="P17" s="15" t="s">
        <v>244</v>
      </c>
      <c r="Q17" s="20">
        <v>5100</v>
      </c>
      <c r="R17" s="24"/>
      <c r="S17" s="24"/>
      <c r="T17" s="24"/>
      <c r="U17" s="20">
        <v>3874.9</v>
      </c>
      <c r="V17" s="20">
        <f t="shared" si="4"/>
        <v>0</v>
      </c>
      <c r="W17" s="15">
        <f>SUM(29+EV17)</f>
        <v>29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 t="s">
        <v>216</v>
      </c>
      <c r="DD17" s="12" t="s">
        <v>216</v>
      </c>
      <c r="DE17" s="12" t="s">
        <v>223</v>
      </c>
      <c r="DF17" s="12" t="s">
        <v>227</v>
      </c>
      <c r="DG17" s="12" t="s">
        <v>229</v>
      </c>
      <c r="DH17" s="12" t="s">
        <v>231</v>
      </c>
      <c r="DI17" s="12" t="s">
        <v>233</v>
      </c>
      <c r="DJ17" s="12" t="s">
        <v>233</v>
      </c>
      <c r="DK17" s="12" t="s">
        <v>239</v>
      </c>
      <c r="DL17" s="12" t="s">
        <v>241</v>
      </c>
      <c r="DM17" s="12" t="s">
        <v>98</v>
      </c>
      <c r="DN17" s="12" t="s">
        <v>98</v>
      </c>
      <c r="DO17" s="12" t="s">
        <v>98</v>
      </c>
      <c r="DP17" s="12" t="s">
        <v>98</v>
      </c>
      <c r="DQ17" s="12" t="s">
        <v>98</v>
      </c>
      <c r="DR17" s="12" t="s">
        <v>98</v>
      </c>
      <c r="DS17" s="12" t="s">
        <v>98</v>
      </c>
      <c r="DT17" s="12" t="s">
        <v>98</v>
      </c>
      <c r="DU17" s="12" t="s">
        <v>98</v>
      </c>
      <c r="DV17" s="12" t="s">
        <v>98</v>
      </c>
      <c r="DW17" s="12" t="s">
        <v>98</v>
      </c>
      <c r="DX17" s="12" t="s">
        <v>98</v>
      </c>
      <c r="DY17" s="12" t="s">
        <v>98</v>
      </c>
      <c r="DZ17" s="12" t="s">
        <v>98</v>
      </c>
      <c r="EA17" s="12" t="s">
        <v>98</v>
      </c>
      <c r="EB17" s="12" t="s">
        <v>98</v>
      </c>
      <c r="EC17" s="12" t="s">
        <v>98</v>
      </c>
      <c r="ED17" s="12" t="s">
        <v>98</v>
      </c>
      <c r="EE17" s="12" t="s">
        <v>98</v>
      </c>
      <c r="EF17" s="12" t="s">
        <v>98</v>
      </c>
      <c r="EG17" s="12" t="s">
        <v>98</v>
      </c>
      <c r="EH17" s="12" t="s">
        <v>98</v>
      </c>
      <c r="EI17" s="12" t="s">
        <v>98</v>
      </c>
      <c r="EJ17" s="12" t="s">
        <v>98</v>
      </c>
      <c r="EK17" s="12" t="s">
        <v>98</v>
      </c>
      <c r="EL17" s="12" t="s">
        <v>98</v>
      </c>
      <c r="EM17" s="12" t="s">
        <v>98</v>
      </c>
      <c r="EN17" s="12" t="s">
        <v>98</v>
      </c>
      <c r="EO17" s="12" t="s">
        <v>98</v>
      </c>
      <c r="EP17" s="12" t="s">
        <v>288</v>
      </c>
      <c r="EQ17" s="12" t="s">
        <v>288</v>
      </c>
      <c r="ER17" s="12" t="s">
        <v>291</v>
      </c>
      <c r="ES17" s="12" t="s">
        <v>291</v>
      </c>
      <c r="ET17" s="12" t="s">
        <v>295</v>
      </c>
    </row>
    <row r="18" spans="2:150" ht="55.2" x14ac:dyDescent="0.3">
      <c r="B18" s="15" t="s">
        <v>94</v>
      </c>
      <c r="C18" s="14" t="s">
        <v>28</v>
      </c>
      <c r="D18" s="14" t="s">
        <v>26</v>
      </c>
      <c r="E18" s="14">
        <v>41240</v>
      </c>
      <c r="F18" s="15"/>
      <c r="G18" s="14"/>
      <c r="H18" s="15" t="s">
        <v>75</v>
      </c>
      <c r="I18" s="15" t="s">
        <v>307</v>
      </c>
      <c r="J18" s="14" t="s">
        <v>308</v>
      </c>
      <c r="K18" s="14" t="s">
        <v>104</v>
      </c>
      <c r="L18" s="12" t="s">
        <v>312</v>
      </c>
      <c r="M18" s="15" t="s">
        <v>107</v>
      </c>
      <c r="N18" s="15" t="s">
        <v>124</v>
      </c>
      <c r="O18" s="19" t="s">
        <v>301</v>
      </c>
      <c r="P18" s="15" t="s">
        <v>300</v>
      </c>
      <c r="Q18" s="20">
        <v>5100</v>
      </c>
      <c r="R18" s="24"/>
      <c r="S18" s="20">
        <v>4200</v>
      </c>
      <c r="T18" s="20">
        <v>5800</v>
      </c>
      <c r="U18" s="20">
        <v>6200</v>
      </c>
      <c r="V18" s="20">
        <v>6200</v>
      </c>
      <c r="W18" s="20">
        <v>5600</v>
      </c>
      <c r="X18" s="20">
        <v>7750</v>
      </c>
      <c r="Y18" s="20">
        <v>7500</v>
      </c>
      <c r="Z18" s="20">
        <f>SUM(FA18)*250</f>
        <v>0</v>
      </c>
      <c r="AA18" s="15">
        <f>SUM(212+FA18)</f>
        <v>212</v>
      </c>
      <c r="AB18" s="20">
        <f>SUM(Q18+S18+T18+U18+V18+W18+X18+Y18+Z18)</f>
        <v>48350</v>
      </c>
    </row>
    <row r="19" spans="2:150" ht="69" x14ac:dyDescent="0.3">
      <c r="B19" s="15" t="s">
        <v>69</v>
      </c>
      <c r="C19" s="14" t="s">
        <v>27</v>
      </c>
      <c r="D19" s="14" t="s">
        <v>26</v>
      </c>
      <c r="E19" s="14">
        <v>41242</v>
      </c>
      <c r="F19" s="15"/>
      <c r="G19" s="14"/>
      <c r="H19" s="15" t="s">
        <v>63</v>
      </c>
      <c r="I19" s="15" t="s">
        <v>309</v>
      </c>
      <c r="J19" s="14" t="s">
        <v>310</v>
      </c>
      <c r="K19" s="14" t="s">
        <v>84</v>
      </c>
      <c r="L19" s="12" t="s">
        <v>314</v>
      </c>
      <c r="M19" s="15" t="s">
        <v>87</v>
      </c>
      <c r="N19" s="15" t="s">
        <v>101</v>
      </c>
      <c r="O19" s="19" t="s">
        <v>302</v>
      </c>
      <c r="P19" s="15" t="s">
        <v>299</v>
      </c>
      <c r="Q19" s="20">
        <v>5100</v>
      </c>
      <c r="R19" s="22" t="s">
        <v>121</v>
      </c>
      <c r="S19" s="20">
        <v>5000</v>
      </c>
      <c r="T19" s="20">
        <v>5800</v>
      </c>
      <c r="U19" s="20">
        <v>6200</v>
      </c>
      <c r="V19" s="20">
        <v>6200</v>
      </c>
      <c r="W19" s="20">
        <v>5600</v>
      </c>
      <c r="X19" s="20">
        <v>7750</v>
      </c>
      <c r="Y19" s="20">
        <v>7500</v>
      </c>
      <c r="Z19" s="20">
        <f>SUM(FA19)*250</f>
        <v>0</v>
      </c>
      <c r="AA19" s="15">
        <f>SUM(216+FA19)</f>
        <v>216</v>
      </c>
      <c r="AB19" s="20">
        <f>SUM(Q19+S19+T19+U19+V19+W19+X19+Y19+Z19)</f>
        <v>49150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7F1753-4B72-43C2-99FB-661FBA675F81}"/>
</file>

<file path=customXml/itemProps3.xml><?xml version="1.0" encoding="utf-8"?>
<ds:datastoreItem xmlns:ds="http://schemas.openxmlformats.org/officeDocument/2006/customXml" ds:itemID="{25D75905-F4B4-4EC3-8138-CF8319E49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SHIPMENTS </vt:lpstr>
      <vt:lpstr>OFFLOADED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2025-05-16T06:30:25Z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